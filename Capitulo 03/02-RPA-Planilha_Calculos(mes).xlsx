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3/Projetos/"/>
    </mc:Choice>
  </mc:AlternateContent>
  <xr:revisionPtr revIDLastSave="22" documentId="8_{C90A10BE-8B07-454D-9668-50C373758776}" xr6:coauthVersionLast="47" xr6:coauthVersionMax="47" xr10:uidLastSave="{1C976150-ED1C-4665-8BC7-6F1EC6DE2E38}"/>
  <bookViews>
    <workbookView xWindow="-120" yWindow="-120" windowWidth="20730" windowHeight="11760" activeTab="1" xr2:uid="{2783C4F7-47A4-4F39-99CB-DDE85B765028}"/>
  </bookViews>
  <sheets>
    <sheet name="RPA - AGO-2026" sheetId="1" r:id="rId1"/>
    <sheet name="RPA - ANO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5" i="1"/>
  <c r="G6" i="1"/>
  <c r="G7" i="1"/>
  <c r="G8" i="1"/>
  <c r="G9" i="1"/>
  <c r="G10" i="1"/>
  <c r="G11" i="1"/>
  <c r="G12" i="1"/>
  <c r="G5" i="1"/>
  <c r="F6" i="1"/>
  <c r="F7" i="1"/>
  <c r="F8" i="1"/>
  <c r="F9" i="1"/>
  <c r="F14" i="1" s="1"/>
  <c r="F10" i="1"/>
  <c r="F11" i="1"/>
  <c r="F12" i="1"/>
  <c r="F5" i="1"/>
  <c r="G14" i="1"/>
  <c r="E14" i="1"/>
  <c r="H14" i="1" l="1"/>
</calcChain>
</file>

<file path=xl/sharedStrings.xml><?xml version="1.0" encoding="utf-8"?>
<sst xmlns="http://schemas.openxmlformats.org/spreadsheetml/2006/main" count="34" uniqueCount="31">
  <si>
    <t>RELATÓRIO DE PAGAMENTO DE RPA (recibo de pagamento autônomo)</t>
  </si>
  <si>
    <t>DATA</t>
  </si>
  <si>
    <t>NOME</t>
  </si>
  <si>
    <t>CPF</t>
  </si>
  <si>
    <t>VALOR DO 
SERVIÇO</t>
  </si>
  <si>
    <t>INSS 
DESCONTADO</t>
  </si>
  <si>
    <t>INSS DA
EMPRESA</t>
  </si>
  <si>
    <t>VALOR LÍQUIDO 
À PAGAR</t>
  </si>
  <si>
    <t>MÊS</t>
  </si>
  <si>
    <t>ANO</t>
  </si>
  <si>
    <t>AGOSTO</t>
  </si>
  <si>
    <t>TOTAL DO PERÍODO:</t>
  </si>
  <si>
    <t>Tabela de alíquotas do INSS</t>
  </si>
  <si>
    <t>Descontado do autônomo:</t>
  </si>
  <si>
    <t>Contribuição da empresa:</t>
  </si>
  <si>
    <t>Michael Kiskie</t>
  </si>
  <si>
    <t>Andreas Deris</t>
  </si>
  <si>
    <t>Bruce Dickinson</t>
  </si>
  <si>
    <t>Ozzy Osbourne</t>
  </si>
  <si>
    <t>Emi Lee</t>
  </si>
  <si>
    <t>Floor Janson</t>
  </si>
  <si>
    <t>Taija Turunem</t>
  </si>
  <si>
    <t>Simone Simons</t>
  </si>
  <si>
    <t>RESUMO ANUAL DO PAGAMENTO DE RPA (recibo de pagamento autônomo)</t>
  </si>
  <si>
    <t>VALOR DOS SERVIÇOS</t>
  </si>
  <si>
    <t>INSS DESCONTADO</t>
  </si>
  <si>
    <t>INSS DA EMPRESA</t>
  </si>
  <si>
    <t>VALOR LÍQUIDO À PAGAR</t>
  </si>
  <si>
    <t>…</t>
  </si>
  <si>
    <t>Agosto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</si>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</sst>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000&quot;.&quot;000&quot;.&quot;000&quot;-&quot;00"/>
  </numFmts>
  <fonts count="5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double">
        <color rgb="FF7030A0"/>
      </left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double">
        <color rgb="FF7030A0"/>
      </left>
      <right/>
      <top style="double">
        <color rgb="FF7030A0"/>
      </top>
      <bottom style="double">
        <color rgb="FF7030A0"/>
      </bottom>
      <diagonal/>
    </border>
    <border>
      <left/>
      <right/>
      <top style="double">
        <color rgb="FF7030A0"/>
      </top>
      <bottom style="double">
        <color rgb="FF7030A0"/>
      </bottom>
      <diagonal/>
    </border>
    <border>
      <left/>
      <right style="double">
        <color rgb="FF7030A0"/>
      </right>
      <top style="double">
        <color rgb="FF7030A0"/>
      </top>
      <bottom style="double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/>
    <xf numFmtId="0" fontId="2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44" fontId="0" fillId="0" borderId="5" xfId="0" applyNumberFormat="1" applyBorder="1" applyAlignment="1">
      <alignment horizontal="right" vertical="center"/>
    </xf>
    <xf numFmtId="0" fontId="0" fillId="0" borderId="5" xfId="0" applyBorder="1"/>
    <xf numFmtId="0" fontId="1" fillId="0" borderId="5" xfId="0" applyFont="1" applyBorder="1" applyAlignment="1">
      <alignment horizontal="right"/>
    </xf>
    <xf numFmtId="44" fontId="3" fillId="0" borderId="5" xfId="0" applyNumberFormat="1" applyFont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DDBD9-5688-4CFB-B230-F79EC8717F6C}">
  <dimension ref="B2:H19"/>
  <sheetViews>
    <sheetView workbookViewId="0"/>
  </sheetViews>
  <sheetFormatPr defaultRowHeight="15" x14ac:dyDescent="0.2"/>
  <cols>
    <col min="1" max="1" width="3.77734375" customWidth="1"/>
    <col min="2" max="2" width="10.88671875" customWidth="1"/>
    <col min="3" max="3" width="36.44140625" customWidth="1"/>
    <col min="4" max="4" width="14.21875" customWidth="1"/>
    <col min="5" max="5" width="14.44140625" customWidth="1"/>
    <col min="6" max="6" width="17.33203125" customWidth="1"/>
    <col min="7" max="7" width="15.109375" customWidth="1"/>
    <col min="8" max="8" width="16" customWidth="1"/>
    <col min="9" max="9" width="3.77734375" customWidth="1"/>
  </cols>
  <sheetData>
    <row r="2" spans="2:8" ht="30" customHeight="1" x14ac:dyDescent="0.2">
      <c r="B2" s="6" t="s">
        <v>0</v>
      </c>
      <c r="C2" s="6"/>
      <c r="D2" s="6"/>
      <c r="E2" s="6"/>
      <c r="F2" s="6"/>
      <c r="G2" s="15" t="s">
        <v>8</v>
      </c>
      <c r="H2" s="15" t="s">
        <v>9</v>
      </c>
    </row>
    <row r="3" spans="2:8" ht="30" customHeight="1" x14ac:dyDescent="0.2">
      <c r="B3" s="6"/>
      <c r="C3" s="6"/>
      <c r="D3" s="6"/>
      <c r="E3" s="6"/>
      <c r="F3" s="6"/>
      <c r="G3" s="17" t="s">
        <v>10</v>
      </c>
      <c r="H3" s="17">
        <v>2026</v>
      </c>
    </row>
    <row r="4" spans="2:8" ht="31.5" x14ac:dyDescent="0.2">
      <c r="B4" s="7" t="s">
        <v>1</v>
      </c>
      <c r="C4" s="7" t="s">
        <v>2</v>
      </c>
      <c r="D4" s="7" t="s">
        <v>3</v>
      </c>
      <c r="E4" s="8" t="s">
        <v>4</v>
      </c>
      <c r="F4" s="8" t="s">
        <v>5</v>
      </c>
      <c r="G4" s="8" t="s">
        <v>6</v>
      </c>
      <c r="H4" s="8" t="s">
        <v>7</v>
      </c>
    </row>
    <row r="5" spans="2:8" x14ac:dyDescent="0.2">
      <c r="B5" s="9">
        <v>46235</v>
      </c>
      <c r="C5" s="10" t="s">
        <v>15</v>
      </c>
      <c r="D5" s="16">
        <v>12345678910</v>
      </c>
      <c r="E5" s="11">
        <v>7158.95</v>
      </c>
      <c r="F5" s="11">
        <f>(E5 * $D$17)</f>
        <v>787.48450000000003</v>
      </c>
      <c r="G5" s="11">
        <f>(E5 * $D$18)</f>
        <v>1431.79</v>
      </c>
      <c r="H5" s="11">
        <f>(E5 - F5)</f>
        <v>6371.4655000000002</v>
      </c>
    </row>
    <row r="6" spans="2:8" x14ac:dyDescent="0.2">
      <c r="B6" s="9">
        <v>46235</v>
      </c>
      <c r="C6" s="10" t="s">
        <v>16</v>
      </c>
      <c r="D6" s="16">
        <v>12345678911</v>
      </c>
      <c r="E6" s="11">
        <v>4458.17</v>
      </c>
      <c r="F6" s="11">
        <f t="shared" ref="F6:F12" si="0">(E6 * $D$17)</f>
        <v>490.39870000000002</v>
      </c>
      <c r="G6" s="11">
        <f t="shared" ref="G6:G12" si="1">(E6 * $D$18)</f>
        <v>891.63400000000001</v>
      </c>
      <c r="H6" s="11">
        <f t="shared" ref="H6:H12" si="2">(E6 - F6)</f>
        <v>3967.7712999999999</v>
      </c>
    </row>
    <row r="7" spans="2:8" x14ac:dyDescent="0.2">
      <c r="B7" s="9">
        <v>46235</v>
      </c>
      <c r="C7" s="10" t="s">
        <v>17</v>
      </c>
      <c r="D7" s="16">
        <v>12345678912</v>
      </c>
      <c r="E7" s="11">
        <v>17333.990000000002</v>
      </c>
      <c r="F7" s="11">
        <f t="shared" si="0"/>
        <v>1906.7389000000003</v>
      </c>
      <c r="G7" s="11">
        <f t="shared" si="1"/>
        <v>3466.7980000000007</v>
      </c>
      <c r="H7" s="11">
        <f t="shared" si="2"/>
        <v>15427.251100000001</v>
      </c>
    </row>
    <row r="8" spans="2:8" x14ac:dyDescent="0.2">
      <c r="B8" s="9">
        <v>46237</v>
      </c>
      <c r="C8" s="10" t="s">
        <v>18</v>
      </c>
      <c r="D8" s="16">
        <v>12345678913</v>
      </c>
      <c r="E8" s="11">
        <v>9999.5400000000009</v>
      </c>
      <c r="F8" s="11">
        <f t="shared" si="0"/>
        <v>1099.9494000000002</v>
      </c>
      <c r="G8" s="11">
        <f t="shared" si="1"/>
        <v>1999.9080000000004</v>
      </c>
      <c r="H8" s="11">
        <f t="shared" si="2"/>
        <v>8899.5906000000014</v>
      </c>
    </row>
    <row r="9" spans="2:8" x14ac:dyDescent="0.2">
      <c r="B9" s="9">
        <v>46237</v>
      </c>
      <c r="C9" s="10" t="s">
        <v>19</v>
      </c>
      <c r="D9" s="16">
        <v>12345678914</v>
      </c>
      <c r="E9" s="11">
        <v>8951.75</v>
      </c>
      <c r="F9" s="11">
        <f t="shared" si="0"/>
        <v>984.6925</v>
      </c>
      <c r="G9" s="11">
        <f t="shared" si="1"/>
        <v>1790.3500000000001</v>
      </c>
      <c r="H9" s="11">
        <f t="shared" si="2"/>
        <v>7967.0574999999999</v>
      </c>
    </row>
    <row r="10" spans="2:8" x14ac:dyDescent="0.2">
      <c r="B10" s="9">
        <v>46241</v>
      </c>
      <c r="C10" s="10" t="s">
        <v>20</v>
      </c>
      <c r="D10" s="16">
        <v>12345678915</v>
      </c>
      <c r="E10" s="11">
        <v>8951.75</v>
      </c>
      <c r="F10" s="11">
        <f t="shared" si="0"/>
        <v>984.6925</v>
      </c>
      <c r="G10" s="11">
        <f t="shared" si="1"/>
        <v>1790.3500000000001</v>
      </c>
      <c r="H10" s="11">
        <f t="shared" si="2"/>
        <v>7967.0574999999999</v>
      </c>
    </row>
    <row r="11" spans="2:8" x14ac:dyDescent="0.2">
      <c r="B11" s="9">
        <v>46241</v>
      </c>
      <c r="C11" s="10" t="s">
        <v>21</v>
      </c>
      <c r="D11" s="16">
        <v>12345678916</v>
      </c>
      <c r="E11" s="11">
        <v>9000</v>
      </c>
      <c r="F11" s="11">
        <f t="shared" si="0"/>
        <v>990</v>
      </c>
      <c r="G11" s="11">
        <f t="shared" si="1"/>
        <v>1800</v>
      </c>
      <c r="H11" s="11">
        <f t="shared" si="2"/>
        <v>8010</v>
      </c>
    </row>
    <row r="12" spans="2:8" x14ac:dyDescent="0.2">
      <c r="B12" s="9">
        <v>46246</v>
      </c>
      <c r="C12" s="10" t="s">
        <v>22</v>
      </c>
      <c r="D12" s="16">
        <v>12345678917</v>
      </c>
      <c r="E12" s="11">
        <v>13985.39</v>
      </c>
      <c r="F12" s="11">
        <f t="shared" si="0"/>
        <v>1538.3929000000001</v>
      </c>
      <c r="G12" s="11">
        <f t="shared" si="1"/>
        <v>2797.078</v>
      </c>
      <c r="H12" s="11">
        <f t="shared" si="2"/>
        <v>12446.997099999999</v>
      </c>
    </row>
    <row r="13" spans="2:8" x14ac:dyDescent="0.2">
      <c r="B13" s="12"/>
      <c r="C13" s="12"/>
      <c r="D13" s="12"/>
      <c r="E13" s="12"/>
      <c r="F13" s="12"/>
      <c r="G13" s="12"/>
      <c r="H13" s="12"/>
    </row>
    <row r="14" spans="2:8" ht="15.75" x14ac:dyDescent="0.25">
      <c r="B14" s="13" t="s">
        <v>11</v>
      </c>
      <c r="C14" s="13"/>
      <c r="D14" s="13"/>
      <c r="E14" s="14">
        <f>SUBTOTAL(9,E5:E12)</f>
        <v>79839.539999999994</v>
      </c>
      <c r="F14" s="14">
        <f t="shared" ref="F14:H14" si="3">SUBTOTAL(9,F5:F12)</f>
        <v>8782.349400000001</v>
      </c>
      <c r="G14" s="14">
        <f t="shared" si="3"/>
        <v>15967.908000000001</v>
      </c>
      <c r="H14" s="14">
        <f t="shared" si="3"/>
        <v>71057.190600000002</v>
      </c>
    </row>
    <row r="15" spans="2:8" ht="15.75" thickBot="1" x14ac:dyDescent="0.25"/>
    <row r="16" spans="2:8" ht="20.100000000000001" customHeight="1" thickTop="1" thickBot="1" x14ac:dyDescent="0.25">
      <c r="B16" s="1" t="s">
        <v>12</v>
      </c>
      <c r="C16" s="2"/>
      <c r="D16" s="3"/>
    </row>
    <row r="17" spans="2:4" ht="16.5" thickTop="1" thickBot="1" x14ac:dyDescent="0.25">
      <c r="B17" s="4" t="s">
        <v>13</v>
      </c>
      <c r="C17" s="4"/>
      <c r="D17" s="5">
        <v>0.11</v>
      </c>
    </row>
    <row r="18" spans="2:4" ht="16.5" thickTop="1" thickBot="1" x14ac:dyDescent="0.25">
      <c r="B18" s="4" t="s">
        <v>14</v>
      </c>
      <c r="C18" s="4"/>
      <c r="D18" s="5">
        <v>0.2</v>
      </c>
    </row>
    <row r="19" spans="2:4" ht="15.75" thickTop="1" x14ac:dyDescent="0.2"/>
  </sheetData>
  <mergeCells count="5">
    <mergeCell ref="B2:F3"/>
    <mergeCell ref="B14:D14"/>
    <mergeCell ref="B17:C17"/>
    <mergeCell ref="B18:C18"/>
    <mergeCell ref="B16:D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E7D1-B7B2-411E-BD5E-00017A385BF9}">
  <dimension ref="B2:F9"/>
  <sheetViews>
    <sheetView tabSelected="1" workbookViewId="0">
      <selection activeCell="B9" sqref="B9"/>
    </sheetView>
  </sheetViews>
  <sheetFormatPr defaultRowHeight="15" x14ac:dyDescent="0.2"/>
  <sheetData>
    <row r="2" spans="2:6" x14ac:dyDescent="0.2">
      <c r="B2" t="s">
        <v>23</v>
      </c>
      <c r="F2" t="s">
        <v>9</v>
      </c>
    </row>
    <row r="3" spans="2:6" x14ac:dyDescent="0.2">
      <c r="F3">
        <v>2026</v>
      </c>
    </row>
    <row r="4" spans="2:6" x14ac:dyDescent="0.2">
      <c r="B4" t="s">
        <v>8</v>
      </c>
      <c r="C4" t="s">
        <v>24</v>
      </c>
      <c r="D4" t="s">
        <v>25</v>
      </c>
      <c r="E4" t="s">
        <v>26</v>
      </c>
      <c r="F4" t="s">
        <v>27</v>
      </c>
    </row>
    <row r="5" spans="2:6" x14ac:dyDescent="0.2">
      <c r="B5" t="s">
        <v>28</v>
      </c>
    </row>
    <row r="6" spans="2:6" x14ac:dyDescent="0.2">
      <c r="B6" t="s">
        <v>29</v>
      </c>
    </row>
    <row r="7" spans="2:6" x14ac:dyDescent="0.2">
      <c r="B7" t="s">
        <v>28</v>
      </c>
    </row>
    <row r="9" spans="2:6" x14ac:dyDescent="0.2">
      <c r="B9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RPA - AGO-2026</vt:lpstr>
      <vt:lpstr>RPA - ANO-2026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2026-08-28T11:17:19Z</dcterms:created>
  <dcterms:modified xsi:type="dcterms:W3CDTF">2026-08-28T12:18:08Z</dcterms:modified>
</cp:coreProperties>
</file>