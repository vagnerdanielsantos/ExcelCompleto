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ec9e416e155c767/Área de Trabalho/Udemy - Excel Completo/Capitulo 04/Projetos/"/>
    </mc:Choice>
  </mc:AlternateContent>
  <xr:revisionPtr revIDLastSave="86" documentId="8_{346E56B0-CEF0-4F17-98B8-886143ACEC6D}" xr6:coauthVersionLast="47" xr6:coauthVersionMax="47" xr10:uidLastSave="{0D6715D2-364F-4851-9B24-F47F1DDB2796}"/>
  <bookViews>
    <workbookView xWindow="-120" yWindow="-120" windowWidth="20730" windowHeight="11760" activeTab="2" xr2:uid="{A1A5DEBA-A486-475D-BB5C-D4D6CD93AF07}"/>
  </bookViews>
  <sheets>
    <sheet name="Menu" sheetId="1" r:id="rId1"/>
    <sheet name="Lançamentos" sheetId="2" r:id="rId2"/>
    <sheet name="Relatóri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7" i="3" l="1"/>
  <c r="N8" i="3"/>
  <c r="N9" i="3"/>
  <c r="N10" i="3"/>
  <c r="N11" i="3"/>
  <c r="N12" i="3"/>
  <c r="N13" i="3"/>
  <c r="N14" i="3"/>
  <c r="N15" i="3"/>
  <c r="N16" i="3"/>
  <c r="N17" i="3"/>
  <c r="N6" i="3"/>
  <c r="L7" i="3"/>
  <c r="L8" i="3"/>
  <c r="L9" i="3"/>
  <c r="L10" i="3"/>
  <c r="L11" i="3"/>
  <c r="L12" i="3"/>
  <c r="L13" i="3"/>
  <c r="L14" i="3"/>
  <c r="L15" i="3"/>
  <c r="L16" i="3"/>
  <c r="L17" i="3"/>
  <c r="L6" i="3"/>
  <c r="K20" i="2"/>
  <c r="J20" i="2"/>
  <c r="L8" i="2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7" i="2"/>
  <c r="F7" i="2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</calcChain>
</file>

<file path=xl/sharedStrings.xml><?xml version="1.0" encoding="utf-8"?>
<sst xmlns="http://schemas.openxmlformats.org/spreadsheetml/2006/main" count="42" uniqueCount="37">
  <si>
    <t>P01</t>
  </si>
  <si>
    <t>Dia</t>
  </si>
  <si>
    <t>Entrada</t>
  </si>
  <si>
    <t>Saída</t>
  </si>
  <si>
    <t>Saldo</t>
  </si>
  <si>
    <t>Número</t>
  </si>
  <si>
    <t>TOTAL</t>
  </si>
  <si>
    <t>Evolução Mensal do Estoque</t>
  </si>
  <si>
    <t>Registro Diário de Movimentação</t>
  </si>
  <si>
    <t>P01 - Detalhamento do Dia</t>
  </si>
  <si>
    <t>Mês</t>
  </si>
  <si>
    <t>P02</t>
  </si>
  <si>
    <t>P03</t>
  </si>
  <si>
    <t>P04</t>
  </si>
  <si>
    <t>P05</t>
  </si>
  <si>
    <t>P06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</si>
  <si>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</si>
  <si>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</si>
  <si>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</si>
  <si>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</si>
  <si>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</si>
  <si>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</si>
  <si>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</si>
  <si>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</si>
  <si>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</si>
  <si>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</si>
  <si>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</si>
  <si>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</si>
  <si>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Média</t>
  </si>
  <si>
    <t>Legenda</t>
  </si>
  <si>
    <t>&lt;= 320</t>
  </si>
  <si>
    <t>&lt; e &lt;= 550</t>
  </si>
  <si>
    <t>&gt; 550</t>
  </si>
  <si>
    <t>Máximo:</t>
  </si>
  <si>
    <t>Mínimo:</t>
  </si>
  <si>
    <t>&lt;= 150</t>
  </si>
  <si>
    <t>&gt; 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</si>
</sst>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  <font>
      <sz val="8"/>
      <name val="Arial"/>
      <family val="2"/>
    </font>
    <font>
      <b/>
      <sz val="12"/>
      <color rgb="FFFFFF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1">
    <border>
      <left/>
      <right/>
      <top/>
      <bottom/>
      <diagonal/>
    </border>
    <border>
      <left style="thick">
        <color theme="9" tint="-0.24994659260841701"/>
      </left>
      <right/>
      <top style="thick">
        <color theme="9" tint="-0.24994659260841701"/>
      </top>
      <bottom style="thick">
        <color theme="9" tint="-0.24994659260841701"/>
      </bottom>
      <diagonal/>
    </border>
    <border>
      <left/>
      <right/>
      <top style="thick">
        <color theme="9" tint="-0.24994659260841701"/>
      </top>
      <bottom style="thick">
        <color theme="9" tint="-0.24994659260841701"/>
      </bottom>
      <diagonal/>
    </border>
    <border>
      <left/>
      <right style="thick">
        <color theme="9" tint="-0.24994659260841701"/>
      </right>
      <top style="thick">
        <color theme="9" tint="-0.24994659260841701"/>
      </top>
      <bottom style="thick">
        <color theme="9" tint="-0.24994659260841701"/>
      </bottom>
      <diagonal/>
    </border>
    <border>
      <left style="thick">
        <color theme="9" tint="-0.24994659260841701"/>
      </left>
      <right/>
      <top style="thick">
        <color theme="9" tint="-0.24994659260841701"/>
      </top>
      <bottom/>
      <diagonal/>
    </border>
    <border>
      <left/>
      <right/>
      <top style="thick">
        <color theme="9" tint="-0.24994659260841701"/>
      </top>
      <bottom/>
      <diagonal/>
    </border>
    <border>
      <left/>
      <right style="thick">
        <color theme="9" tint="-0.24994659260841701"/>
      </right>
      <top style="thick">
        <color theme="9" tint="-0.24994659260841701"/>
      </top>
      <bottom/>
      <diagonal/>
    </border>
    <border>
      <left style="thin">
        <color theme="9" tint="-0.24994659260841701"/>
      </left>
      <right/>
      <top style="thin">
        <color theme="9" tint="-0.24994659260841701"/>
      </top>
      <bottom/>
      <diagonal/>
    </border>
    <border>
      <left/>
      <right/>
      <top style="thin">
        <color theme="9" tint="-0.24994659260841701"/>
      </top>
      <bottom/>
      <diagonal/>
    </border>
    <border>
      <left/>
      <right style="thin">
        <color theme="9" tint="-0.24994659260841701"/>
      </right>
      <top style="thin">
        <color theme="9" tint="-0.24994659260841701"/>
      </top>
      <bottom/>
      <diagonal/>
    </border>
    <border>
      <left style="thin">
        <color theme="9" tint="-0.24994659260841701"/>
      </left>
      <right/>
      <top/>
      <bottom/>
      <diagonal/>
    </border>
    <border>
      <left/>
      <right style="thin">
        <color theme="9" tint="-0.24994659260841701"/>
      </right>
      <top/>
      <bottom/>
      <diagonal/>
    </border>
    <border>
      <left style="thin">
        <color theme="9" tint="-0.24994659260841701"/>
      </left>
      <right/>
      <top/>
      <bottom style="thin">
        <color theme="9" tint="-0.24994659260841701"/>
      </bottom>
      <diagonal/>
    </border>
    <border>
      <left/>
      <right/>
      <top/>
      <bottom style="thin">
        <color theme="9" tint="-0.24994659260841701"/>
      </bottom>
      <diagonal/>
    </border>
    <border>
      <left/>
      <right style="thin">
        <color theme="9" tint="-0.24994659260841701"/>
      </right>
      <top/>
      <bottom style="thin">
        <color theme="9" tint="-0.24994659260841701"/>
      </bottom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thin">
        <color rgb="FF92D050"/>
      </bottom>
      <diagonal/>
    </border>
    <border>
      <left style="thin">
        <color rgb="FF92D050"/>
      </left>
      <right/>
      <top style="thin">
        <color rgb="FF92D050"/>
      </top>
      <bottom style="thin">
        <color rgb="FF92D050"/>
      </bottom>
      <diagonal/>
    </border>
    <border>
      <left/>
      <right/>
      <top style="thin">
        <color rgb="FF92D050"/>
      </top>
      <bottom style="thin">
        <color rgb="FF92D050"/>
      </bottom>
      <diagonal/>
    </border>
    <border>
      <left/>
      <right style="thin">
        <color rgb="FF92D050"/>
      </right>
      <top style="thin">
        <color rgb="FF92D050"/>
      </top>
      <bottom style="thin">
        <color rgb="FF92D050"/>
      </bottom>
      <diagonal/>
    </border>
    <border>
      <left style="thin">
        <color rgb="FF92D050"/>
      </left>
      <right/>
      <top style="thin">
        <color rgb="FF92D050"/>
      </top>
      <bottom/>
      <diagonal/>
    </border>
    <border>
      <left/>
      <right/>
      <top style="thin">
        <color rgb="FF92D050"/>
      </top>
      <bottom/>
      <diagonal/>
    </border>
    <border>
      <left/>
      <right style="thin">
        <color rgb="FF92D050"/>
      </right>
      <top style="thin">
        <color rgb="FF92D050"/>
      </top>
      <bottom/>
      <diagonal/>
    </border>
    <border>
      <left style="thin">
        <color rgb="FF92D050"/>
      </left>
      <right/>
      <top/>
      <bottom/>
      <diagonal/>
    </border>
    <border>
      <left/>
      <right style="thin">
        <color rgb="FF92D050"/>
      </right>
      <top/>
      <bottom/>
      <diagonal/>
    </border>
    <border>
      <left style="thin">
        <color rgb="FF92D050"/>
      </left>
      <right/>
      <top/>
      <bottom style="thin">
        <color rgb="FF92D050"/>
      </bottom>
      <diagonal/>
    </border>
    <border>
      <left/>
      <right/>
      <top/>
      <bottom style="thin">
        <color rgb="FF92D050"/>
      </bottom>
      <diagonal/>
    </border>
    <border>
      <left/>
      <right style="thin">
        <color rgb="FF92D050"/>
      </right>
      <top/>
      <bottom style="thin">
        <color rgb="FF92D050"/>
      </bottom>
      <diagonal/>
    </border>
    <border>
      <left/>
      <right/>
      <top style="thin">
        <color rgb="FF92D050"/>
      </top>
      <bottom style="thin">
        <color theme="9" tint="-0.24994659260841701"/>
      </bottom>
      <diagonal/>
    </border>
    <border>
      <left style="thin">
        <color rgb="FF92D050"/>
      </left>
      <right style="thin">
        <color rgb="FF92D050"/>
      </right>
      <top style="thin">
        <color rgb="FF92D050"/>
      </top>
      <bottom/>
      <diagonal/>
    </border>
    <border>
      <left style="thin">
        <color rgb="FF92D050"/>
      </left>
      <right style="thin">
        <color rgb="FF92D050"/>
      </right>
      <top/>
      <bottom/>
      <diagonal/>
    </border>
    <border>
      <left style="thin">
        <color rgb="FF92D050"/>
      </left>
      <right style="thin">
        <color rgb="FF92D050"/>
      </right>
      <top/>
      <bottom style="thin">
        <color rgb="FF92D050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right" vertical="center"/>
    </xf>
    <xf numFmtId="0" fontId="1" fillId="0" borderId="16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0" fillId="0" borderId="16" xfId="0" applyFont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0" fillId="0" borderId="18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2" fillId="0" borderId="18" xfId="0" applyFont="1" applyBorder="1" applyAlignment="1">
      <alignment horizontal="right" vertical="center"/>
    </xf>
    <xf numFmtId="0" fontId="1" fillId="0" borderId="16" xfId="0" applyFont="1" applyBorder="1" applyAlignment="1">
      <alignment horizontal="left" vertical="center"/>
    </xf>
    <xf numFmtId="0" fontId="1" fillId="0" borderId="17" xfId="0" applyFont="1" applyBorder="1"/>
    <xf numFmtId="14" fontId="2" fillId="0" borderId="18" xfId="0" applyNumberFormat="1" applyFont="1" applyBorder="1"/>
    <xf numFmtId="0" fontId="0" fillId="0" borderId="16" xfId="0" applyFont="1" applyFill="1" applyBorder="1" applyAlignment="1">
      <alignment horizontal="center" vertical="center"/>
    </xf>
    <xf numFmtId="0" fontId="0" fillId="0" borderId="17" xfId="0" applyFont="1" applyFill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" fillId="0" borderId="18" xfId="0" applyFont="1" applyBorder="1"/>
    <xf numFmtId="0" fontId="0" fillId="0" borderId="20" xfId="0" applyBorder="1" applyAlignment="1">
      <alignment horizontal="right" vertical="center"/>
    </xf>
    <xf numFmtId="0" fontId="0" fillId="0" borderId="21" xfId="0" applyBorder="1" applyAlignment="1">
      <alignment horizontal="right" vertical="center"/>
    </xf>
    <xf numFmtId="0" fontId="0" fillId="0" borderId="23" xfId="0" applyBorder="1" applyAlignment="1">
      <alignment horizontal="right" vertical="center"/>
    </xf>
    <xf numFmtId="0" fontId="0" fillId="0" borderId="0" xfId="0" applyFill="1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26" xfId="0" applyBorder="1" applyAlignment="1">
      <alignment horizontal="right" vertic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14" fontId="0" fillId="0" borderId="19" xfId="0" applyNumberFormat="1" applyBorder="1"/>
    <xf numFmtId="14" fontId="0" fillId="0" borderId="27" xfId="0" applyNumberFormat="1" applyBorder="1"/>
    <xf numFmtId="14" fontId="0" fillId="0" borderId="22" xfId="0" applyNumberFormat="1" applyBorder="1"/>
    <xf numFmtId="14" fontId="0" fillId="0" borderId="24" xfId="0" applyNumberFormat="1" applyBorder="1"/>
    <xf numFmtId="0" fontId="0" fillId="0" borderId="24" xfId="0" applyBorder="1" applyAlignment="1">
      <alignment horizontal="center"/>
    </xf>
    <xf numFmtId="0" fontId="2" fillId="0" borderId="18" xfId="0" applyFont="1" applyBorder="1"/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20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5" xfId="0" applyBorder="1"/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4" fillId="4" borderId="15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0" fillId="0" borderId="30" xfId="0" applyNumberFormat="1" applyBorder="1" applyAlignment="1">
      <alignment horizontal="center" vertical="center"/>
    </xf>
    <xf numFmtId="0" fontId="0" fillId="6" borderId="13" xfId="0" applyFill="1" applyBorder="1"/>
    <xf numFmtId="0" fontId="0" fillId="5" borderId="13" xfId="0" applyFill="1" applyBorder="1"/>
    <xf numFmtId="0" fontId="0" fillId="4" borderId="13" xfId="0" applyFill="1" applyBorder="1"/>
  </cellXfs>
  <cellStyles count="1">
    <cellStyle name="Normal" xfId="0" builtinId="0"/>
  </cellStyles>
  <dxfs count="8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hyperlink" Target="#Relat&#243;rios!A1"/><Relationship Id="rId1" Type="http://schemas.openxmlformats.org/officeDocument/2006/relationships/hyperlink" Target="#Lan&#231;amentos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Relat&#243;rios!A1"/><Relationship Id="rId1" Type="http://schemas.openxmlformats.org/officeDocument/2006/relationships/hyperlink" Target="#Menu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Relat&#243;rios!A1"/><Relationship Id="rId2" Type="http://schemas.openxmlformats.org/officeDocument/2006/relationships/hyperlink" Target="#Lan&#231;amentos!A1"/><Relationship Id="rId1" Type="http://schemas.openxmlformats.org/officeDocument/2006/relationships/hyperlink" Target="#Menu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9525</xdr:rowOff>
    </xdr:from>
    <xdr:to>
      <xdr:col>6</xdr:col>
      <xdr:colOff>0</xdr:colOff>
      <xdr:row>1</xdr:row>
      <xdr:rowOff>9525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9E8A2981-89BB-4207-54DB-E3D2688F2EA5}"/>
            </a:ext>
          </a:extLst>
        </xdr:cNvPr>
        <xdr:cNvSpPr txBox="1"/>
      </xdr:nvSpPr>
      <xdr:spPr>
        <a:xfrm>
          <a:off x="323850" y="9525"/>
          <a:ext cx="381000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GERENCIADOR</a:t>
          </a:r>
          <a:r>
            <a:rPr lang="pt-BR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DE ESTOQUES</a:t>
          </a:r>
          <a:endParaRPr lang="pt-BR" sz="1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28575</xdr:colOff>
      <xdr:row>1</xdr:row>
      <xdr:rowOff>0</xdr:rowOff>
    </xdr:from>
    <xdr:to>
      <xdr:col>3</xdr:col>
      <xdr:colOff>409575</xdr:colOff>
      <xdr:row>2</xdr:row>
      <xdr:rowOff>0</xdr:rowOff>
    </xdr:to>
    <xdr:sp macro="" textlink="">
      <xdr:nvSpPr>
        <xdr:cNvPr id="3" name="Retângulo: Cantos Superiores Arredondados 2">
          <a:extLst>
            <a:ext uri="{FF2B5EF4-FFF2-40B4-BE49-F238E27FC236}">
              <a16:creationId xmlns:a16="http://schemas.microsoft.com/office/drawing/2014/main" id="{BDB0DC1F-87C2-DCA8-C936-94B02BB4536B}"/>
            </a:ext>
          </a:extLst>
        </xdr:cNvPr>
        <xdr:cNvSpPr/>
      </xdr:nvSpPr>
      <xdr:spPr>
        <a:xfrm>
          <a:off x="352425" y="381000"/>
          <a:ext cx="1905000" cy="381000"/>
        </a:xfrm>
        <a:prstGeom prst="round2Same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2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  <xdr:twoCellAnchor>
    <xdr:from>
      <xdr:col>3</xdr:col>
      <xdr:colOff>428625</xdr:colOff>
      <xdr:row>1</xdr:row>
      <xdr:rowOff>0</xdr:rowOff>
    </xdr:from>
    <xdr:to>
      <xdr:col>6</xdr:col>
      <xdr:colOff>47625</xdr:colOff>
      <xdr:row>1</xdr:row>
      <xdr:rowOff>371475</xdr:rowOff>
    </xdr:to>
    <xdr:sp macro="" textlink="">
      <xdr:nvSpPr>
        <xdr:cNvPr id="4" name="Retângulo: Cantos Superiore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88EE1C-B475-4A05-96C9-E6573033536B}"/>
            </a:ext>
          </a:extLst>
        </xdr:cNvPr>
        <xdr:cNvSpPr/>
      </xdr:nvSpPr>
      <xdr:spPr>
        <a:xfrm>
          <a:off x="2276475" y="381000"/>
          <a:ext cx="1905000" cy="371475"/>
        </a:xfrm>
        <a:prstGeom prst="round2Same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2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LANÇAMENTOS</a:t>
          </a:r>
        </a:p>
      </xdr:txBody>
    </xdr:sp>
    <xdr:clientData/>
  </xdr:twoCellAnchor>
  <xdr:twoCellAnchor>
    <xdr:from>
      <xdr:col>6</xdr:col>
      <xdr:colOff>66675</xdr:colOff>
      <xdr:row>1</xdr:row>
      <xdr:rowOff>0</xdr:rowOff>
    </xdr:from>
    <xdr:to>
      <xdr:col>8</xdr:col>
      <xdr:colOff>447675</xdr:colOff>
      <xdr:row>2</xdr:row>
      <xdr:rowOff>0</xdr:rowOff>
    </xdr:to>
    <xdr:sp macro="" textlink="">
      <xdr:nvSpPr>
        <xdr:cNvPr id="5" name="Retângulo: Cantos Superiore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F931EC1-78F0-40B3-94D0-111E4FD8D519}"/>
            </a:ext>
          </a:extLst>
        </xdr:cNvPr>
        <xdr:cNvSpPr/>
      </xdr:nvSpPr>
      <xdr:spPr>
        <a:xfrm>
          <a:off x="4200525" y="381000"/>
          <a:ext cx="1905000" cy="381000"/>
        </a:xfrm>
        <a:prstGeom prst="round2Same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2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RELATÓRIOS</a:t>
          </a:r>
        </a:p>
      </xdr:txBody>
    </xdr:sp>
    <xdr:clientData/>
  </xdr:twoCellAnchor>
  <xdr:twoCellAnchor editAs="oneCell">
    <xdr:from>
      <xdr:col>6</xdr:col>
      <xdr:colOff>123825</xdr:colOff>
      <xdr:row>4</xdr:row>
      <xdr:rowOff>161925</xdr:rowOff>
    </xdr:from>
    <xdr:to>
      <xdr:col>11</xdr:col>
      <xdr:colOff>28575</xdr:colOff>
      <xdr:row>18</xdr:row>
      <xdr:rowOff>28575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BD8F358-28A2-4CA5-760D-7CDC46214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2925" y="1304925"/>
          <a:ext cx="3810000" cy="2533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9525</xdr:rowOff>
    </xdr:from>
    <xdr:to>
      <xdr:col>6</xdr:col>
      <xdr:colOff>0</xdr:colOff>
      <xdr:row>1</xdr:row>
      <xdr:rowOff>9525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765CB1B9-F57B-42B8-ADB6-3F9CE1261228}"/>
            </a:ext>
          </a:extLst>
        </xdr:cNvPr>
        <xdr:cNvSpPr txBox="1"/>
      </xdr:nvSpPr>
      <xdr:spPr>
        <a:xfrm>
          <a:off x="323850" y="9525"/>
          <a:ext cx="39052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GERENCIADOR</a:t>
          </a:r>
          <a:r>
            <a:rPr lang="pt-BR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DE ESTOQUES</a:t>
          </a:r>
          <a:endParaRPr lang="pt-BR" sz="1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28575</xdr:colOff>
      <xdr:row>1</xdr:row>
      <xdr:rowOff>0</xdr:rowOff>
    </xdr:from>
    <xdr:to>
      <xdr:col>3</xdr:col>
      <xdr:colOff>409575</xdr:colOff>
      <xdr:row>2</xdr:row>
      <xdr:rowOff>0</xdr:rowOff>
    </xdr:to>
    <xdr:sp macro="" textlink="">
      <xdr:nvSpPr>
        <xdr:cNvPr id="3" name="Retângulo: Cantos Superiore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6246EE-1E4F-48D2-B673-E44DA851DF9F}"/>
            </a:ext>
          </a:extLst>
        </xdr:cNvPr>
        <xdr:cNvSpPr/>
      </xdr:nvSpPr>
      <xdr:spPr>
        <a:xfrm>
          <a:off x="352425" y="381000"/>
          <a:ext cx="1943100" cy="381000"/>
        </a:xfrm>
        <a:prstGeom prst="round2Same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2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  <xdr:twoCellAnchor>
    <xdr:from>
      <xdr:col>3</xdr:col>
      <xdr:colOff>428625</xdr:colOff>
      <xdr:row>1</xdr:row>
      <xdr:rowOff>0</xdr:rowOff>
    </xdr:from>
    <xdr:to>
      <xdr:col>6</xdr:col>
      <xdr:colOff>47625</xdr:colOff>
      <xdr:row>1</xdr:row>
      <xdr:rowOff>371475</xdr:rowOff>
    </xdr:to>
    <xdr:sp macro="" textlink="">
      <xdr:nvSpPr>
        <xdr:cNvPr id="4" name="Retângulo: Cantos Superiores Arredondados 3">
          <a:extLst>
            <a:ext uri="{FF2B5EF4-FFF2-40B4-BE49-F238E27FC236}">
              <a16:creationId xmlns:a16="http://schemas.microsoft.com/office/drawing/2014/main" id="{CE48DA2F-6A6C-49D4-924B-60755A3CA282}"/>
            </a:ext>
          </a:extLst>
        </xdr:cNvPr>
        <xdr:cNvSpPr/>
      </xdr:nvSpPr>
      <xdr:spPr>
        <a:xfrm>
          <a:off x="2314575" y="381000"/>
          <a:ext cx="1962150" cy="371475"/>
        </a:xfrm>
        <a:prstGeom prst="round2Same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2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LANÇAMENTOS</a:t>
          </a:r>
        </a:p>
      </xdr:txBody>
    </xdr:sp>
    <xdr:clientData/>
  </xdr:twoCellAnchor>
  <xdr:twoCellAnchor>
    <xdr:from>
      <xdr:col>6</xdr:col>
      <xdr:colOff>66675</xdr:colOff>
      <xdr:row>1</xdr:row>
      <xdr:rowOff>0</xdr:rowOff>
    </xdr:from>
    <xdr:to>
      <xdr:col>8</xdr:col>
      <xdr:colOff>447675</xdr:colOff>
      <xdr:row>2</xdr:row>
      <xdr:rowOff>0</xdr:rowOff>
    </xdr:to>
    <xdr:sp macro="" textlink="">
      <xdr:nvSpPr>
        <xdr:cNvPr id="5" name="Retângulo: Cantos Superiore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F5E1909-B851-4C29-83BA-34E738387C44}"/>
            </a:ext>
          </a:extLst>
        </xdr:cNvPr>
        <xdr:cNvSpPr/>
      </xdr:nvSpPr>
      <xdr:spPr>
        <a:xfrm>
          <a:off x="4295775" y="381000"/>
          <a:ext cx="1943100" cy="381000"/>
        </a:xfrm>
        <a:prstGeom prst="round2Same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2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RELATÓRIOS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9525</xdr:rowOff>
    </xdr:from>
    <xdr:to>
      <xdr:col>6</xdr:col>
      <xdr:colOff>0</xdr:colOff>
      <xdr:row>1</xdr:row>
      <xdr:rowOff>9525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CC3AD4B0-E458-4BCC-8021-57010F46FB36}"/>
            </a:ext>
          </a:extLst>
        </xdr:cNvPr>
        <xdr:cNvSpPr txBox="1"/>
      </xdr:nvSpPr>
      <xdr:spPr>
        <a:xfrm>
          <a:off x="323850" y="9525"/>
          <a:ext cx="39052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GERENCIADOR</a:t>
          </a:r>
          <a:r>
            <a:rPr lang="pt-BR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DE ESTOQUES</a:t>
          </a:r>
          <a:endParaRPr lang="pt-BR" sz="1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28575</xdr:colOff>
      <xdr:row>1</xdr:row>
      <xdr:rowOff>0</xdr:rowOff>
    </xdr:from>
    <xdr:to>
      <xdr:col>3</xdr:col>
      <xdr:colOff>409575</xdr:colOff>
      <xdr:row>2</xdr:row>
      <xdr:rowOff>0</xdr:rowOff>
    </xdr:to>
    <xdr:sp macro="" textlink="">
      <xdr:nvSpPr>
        <xdr:cNvPr id="3" name="Retângulo: Cantos Superiore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9A7528-08DD-4A3F-8560-E46F745A4718}"/>
            </a:ext>
          </a:extLst>
        </xdr:cNvPr>
        <xdr:cNvSpPr/>
      </xdr:nvSpPr>
      <xdr:spPr>
        <a:xfrm>
          <a:off x="352425" y="381000"/>
          <a:ext cx="1943100" cy="381000"/>
        </a:xfrm>
        <a:prstGeom prst="round2Same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2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  <xdr:twoCellAnchor>
    <xdr:from>
      <xdr:col>3</xdr:col>
      <xdr:colOff>428625</xdr:colOff>
      <xdr:row>1</xdr:row>
      <xdr:rowOff>0</xdr:rowOff>
    </xdr:from>
    <xdr:to>
      <xdr:col>6</xdr:col>
      <xdr:colOff>47625</xdr:colOff>
      <xdr:row>1</xdr:row>
      <xdr:rowOff>371475</xdr:rowOff>
    </xdr:to>
    <xdr:sp macro="" textlink="">
      <xdr:nvSpPr>
        <xdr:cNvPr id="4" name="Retângulo: Cantos Superiore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E02568B-3A08-47D0-851D-B4E745847A50}"/>
            </a:ext>
          </a:extLst>
        </xdr:cNvPr>
        <xdr:cNvSpPr/>
      </xdr:nvSpPr>
      <xdr:spPr>
        <a:xfrm>
          <a:off x="2314575" y="381000"/>
          <a:ext cx="1962150" cy="371475"/>
        </a:xfrm>
        <a:prstGeom prst="round2Same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2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LANÇAMENTOS</a:t>
          </a:r>
        </a:p>
      </xdr:txBody>
    </xdr:sp>
    <xdr:clientData/>
  </xdr:twoCellAnchor>
  <xdr:twoCellAnchor>
    <xdr:from>
      <xdr:col>6</xdr:col>
      <xdr:colOff>66675</xdr:colOff>
      <xdr:row>1</xdr:row>
      <xdr:rowOff>0</xdr:rowOff>
    </xdr:from>
    <xdr:to>
      <xdr:col>8</xdr:col>
      <xdr:colOff>447675</xdr:colOff>
      <xdr:row>2</xdr:row>
      <xdr:rowOff>0</xdr:rowOff>
    </xdr:to>
    <xdr:sp macro="" textlink="">
      <xdr:nvSpPr>
        <xdr:cNvPr id="5" name="Retângulo: Cantos Superiore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B34A13D-C5D5-45B2-B14F-A1055B6146BC}"/>
            </a:ext>
          </a:extLst>
        </xdr:cNvPr>
        <xdr:cNvSpPr/>
      </xdr:nvSpPr>
      <xdr:spPr>
        <a:xfrm>
          <a:off x="4295775" y="381000"/>
          <a:ext cx="1943100" cy="381000"/>
        </a:xfrm>
        <a:prstGeom prst="round2Same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2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RELATÓRIOS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A6115-3F88-497F-B568-476E7F9B4C97}">
  <dimension ref="B1:P23"/>
  <sheetViews>
    <sheetView showGridLines="0" workbookViewId="0"/>
  </sheetViews>
  <sheetFormatPr defaultColWidth="0" defaultRowHeight="15" zeroHeight="1" x14ac:dyDescent="0.2"/>
  <cols>
    <col min="1" max="1" width="3.77734375" customWidth="1"/>
    <col min="2" max="16" width="9.109375" customWidth="1"/>
    <col min="17" max="17" width="3.77734375" customWidth="1"/>
    <col min="18" max="16384" width="8.88671875" hidden="1"/>
  </cols>
  <sheetData>
    <row r="1" spans="2:16" ht="30" customHeight="1" thickTop="1" thickBot="1" x14ac:dyDescent="0.25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spans="2:16" ht="30" customHeight="1" thickTop="1" x14ac:dyDescent="0.2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</row>
    <row r="3" spans="2:16" x14ac:dyDescent="0.2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9"/>
    </row>
    <row r="4" spans="2:16" x14ac:dyDescent="0.2"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2"/>
    </row>
    <row r="5" spans="2:16" x14ac:dyDescent="0.2">
      <c r="B5" s="10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2"/>
    </row>
    <row r="6" spans="2:16" x14ac:dyDescent="0.2">
      <c r="B6" s="10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2"/>
    </row>
    <row r="7" spans="2:16" x14ac:dyDescent="0.2"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2"/>
    </row>
    <row r="8" spans="2:16" x14ac:dyDescent="0.2"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2"/>
    </row>
    <row r="9" spans="2:16" x14ac:dyDescent="0.2"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2"/>
    </row>
    <row r="10" spans="2:16" x14ac:dyDescent="0.2">
      <c r="B10" s="10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2"/>
    </row>
    <row r="11" spans="2:16" x14ac:dyDescent="0.2">
      <c r="B11" s="10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2"/>
    </row>
    <row r="12" spans="2:16" x14ac:dyDescent="0.2">
      <c r="B12" s="10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2"/>
    </row>
    <row r="13" spans="2:16" x14ac:dyDescent="0.2">
      <c r="B13" s="10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2"/>
    </row>
    <row r="14" spans="2:16" x14ac:dyDescent="0.2">
      <c r="B14" s="10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2"/>
    </row>
    <row r="15" spans="2:16" x14ac:dyDescent="0.2"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2"/>
    </row>
    <row r="16" spans="2:16" x14ac:dyDescent="0.2">
      <c r="B16" s="10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2"/>
    </row>
    <row r="17" spans="2:16" x14ac:dyDescent="0.2">
      <c r="B17" s="10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2"/>
    </row>
    <row r="18" spans="2:16" x14ac:dyDescent="0.2">
      <c r="B18" s="10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2"/>
    </row>
    <row r="19" spans="2:16" x14ac:dyDescent="0.2"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2"/>
    </row>
    <row r="20" spans="2:16" x14ac:dyDescent="0.2"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2"/>
    </row>
    <row r="21" spans="2:16" x14ac:dyDescent="0.2">
      <c r="B21" s="13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5"/>
    </row>
    <row r="22" spans="2:16" x14ac:dyDescent="0.2"/>
    <row r="23" spans="2:16" x14ac:dyDescent="0.2"/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2316F-ED68-4E57-ACA0-4A71973800BA}">
  <dimension ref="B1:P23"/>
  <sheetViews>
    <sheetView showGridLines="0" topLeftCell="A2" workbookViewId="0">
      <selection activeCell="A2" sqref="A2"/>
    </sheetView>
  </sheetViews>
  <sheetFormatPr defaultColWidth="0" defaultRowHeight="15" customHeight="1" zeroHeight="1" x14ac:dyDescent="0.2"/>
  <cols>
    <col min="1" max="1" width="3.77734375" customWidth="1"/>
    <col min="2" max="2" width="9.109375" customWidth="1"/>
    <col min="3" max="3" width="9.77734375" customWidth="1"/>
    <col min="4" max="4" width="9.109375" customWidth="1"/>
    <col min="5" max="5" width="10.5546875" customWidth="1"/>
    <col min="6" max="11" width="9.109375" customWidth="1"/>
    <col min="12" max="12" width="9.88671875" customWidth="1"/>
    <col min="13" max="16" width="9.109375" customWidth="1"/>
    <col min="17" max="17" width="3.77734375" customWidth="1"/>
    <col min="18" max="16384" width="8.88671875" hidden="1"/>
  </cols>
  <sheetData>
    <row r="1" spans="2:16" ht="30" customHeight="1" thickTop="1" thickBot="1" x14ac:dyDescent="0.25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spans="2:16" ht="30" customHeight="1" thickTop="1" x14ac:dyDescent="0.2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</row>
    <row r="3" spans="2:16" x14ac:dyDescent="0.2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9"/>
    </row>
    <row r="4" spans="2:16" ht="15.75" x14ac:dyDescent="0.25">
      <c r="B4" s="10"/>
      <c r="C4" s="19" t="s">
        <v>8</v>
      </c>
      <c r="D4" s="20"/>
      <c r="E4" s="20"/>
      <c r="F4" s="25" t="s">
        <v>0</v>
      </c>
      <c r="G4" s="11"/>
      <c r="H4" s="11"/>
      <c r="I4" s="26" t="s">
        <v>9</v>
      </c>
      <c r="J4" s="27"/>
      <c r="K4" s="27"/>
      <c r="L4" s="28">
        <v>46262</v>
      </c>
      <c r="M4" s="11"/>
      <c r="N4" s="11"/>
      <c r="O4" s="11"/>
      <c r="P4" s="12"/>
    </row>
    <row r="5" spans="2:16" x14ac:dyDescent="0.2">
      <c r="B5" s="10"/>
      <c r="C5" s="21" t="s">
        <v>1</v>
      </c>
      <c r="D5" s="22" t="s">
        <v>2</v>
      </c>
      <c r="E5" s="22" t="s">
        <v>3</v>
      </c>
      <c r="F5" s="23" t="s">
        <v>4</v>
      </c>
      <c r="G5" s="11"/>
      <c r="H5" s="11"/>
      <c r="I5" s="29" t="s">
        <v>5</v>
      </c>
      <c r="J5" s="30" t="s">
        <v>2</v>
      </c>
      <c r="K5" s="30" t="s">
        <v>3</v>
      </c>
      <c r="L5" s="23" t="s">
        <v>4</v>
      </c>
      <c r="M5" s="11"/>
      <c r="N5" s="11"/>
      <c r="O5" s="11"/>
      <c r="P5" s="12"/>
    </row>
    <row r="6" spans="2:16" x14ac:dyDescent="0.2">
      <c r="B6" s="10"/>
      <c r="C6" s="43">
        <v>46237</v>
      </c>
      <c r="D6" s="35"/>
      <c r="E6" s="35"/>
      <c r="F6" s="36">
        <v>950</v>
      </c>
      <c r="G6" s="11"/>
      <c r="H6" s="11"/>
      <c r="I6" s="41">
        <v>1</v>
      </c>
      <c r="J6" s="35">
        <v>248</v>
      </c>
      <c r="K6" s="35"/>
      <c r="L6" s="36">
        <v>248</v>
      </c>
      <c r="M6" s="11"/>
      <c r="N6" s="11"/>
      <c r="O6" s="11"/>
      <c r="P6" s="12"/>
    </row>
    <row r="7" spans="2:16" x14ac:dyDescent="0.2">
      <c r="B7" s="10"/>
      <c r="C7" s="45">
        <v>46238</v>
      </c>
      <c r="D7" s="18"/>
      <c r="E7" s="18">
        <v>200</v>
      </c>
      <c r="F7" s="37">
        <f>(F6 + D7) - E7</f>
        <v>750</v>
      </c>
      <c r="G7" s="11"/>
      <c r="H7" s="11"/>
      <c r="I7" s="42">
        <v>2</v>
      </c>
      <c r="J7" s="18">
        <v>600</v>
      </c>
      <c r="K7" s="18"/>
      <c r="L7" s="37">
        <f>(L6 + J7) - K7</f>
        <v>848</v>
      </c>
      <c r="M7" s="11"/>
      <c r="N7" s="11"/>
      <c r="O7" s="11"/>
      <c r="P7" s="12"/>
    </row>
    <row r="8" spans="2:16" x14ac:dyDescent="0.2">
      <c r="B8" s="10"/>
      <c r="C8" s="45">
        <v>46239</v>
      </c>
      <c r="D8" s="18"/>
      <c r="E8" s="18">
        <v>250</v>
      </c>
      <c r="F8" s="37">
        <f t="shared" ref="F8:F20" si="0">(F7 + D8) - E8</f>
        <v>500</v>
      </c>
      <c r="G8" s="11"/>
      <c r="H8" s="11"/>
      <c r="I8" s="42">
        <v>3</v>
      </c>
      <c r="J8" s="18"/>
      <c r="K8" s="18">
        <v>25</v>
      </c>
      <c r="L8" s="37">
        <f t="shared" ref="L8:L19" si="1">(L7 + J8) - K8</f>
        <v>823</v>
      </c>
      <c r="M8" s="11"/>
      <c r="N8" s="11"/>
      <c r="O8" s="11"/>
      <c r="P8" s="12"/>
    </row>
    <row r="9" spans="2:16" x14ac:dyDescent="0.2">
      <c r="B9" s="10"/>
      <c r="C9" s="45">
        <v>46240</v>
      </c>
      <c r="D9" s="18"/>
      <c r="E9" s="18">
        <v>95</v>
      </c>
      <c r="F9" s="37">
        <f t="shared" si="0"/>
        <v>405</v>
      </c>
      <c r="G9" s="11"/>
      <c r="H9" s="11"/>
      <c r="I9" s="42">
        <v>4</v>
      </c>
      <c r="J9" s="18"/>
      <c r="K9" s="18">
        <v>39</v>
      </c>
      <c r="L9" s="37">
        <f t="shared" si="1"/>
        <v>784</v>
      </c>
      <c r="M9" s="11"/>
      <c r="N9" s="11"/>
      <c r="O9" s="11"/>
      <c r="P9" s="12"/>
    </row>
    <row r="10" spans="2:16" x14ac:dyDescent="0.2">
      <c r="B10" s="10"/>
      <c r="C10" s="45">
        <v>46241</v>
      </c>
      <c r="D10" s="18"/>
      <c r="E10" s="38">
        <v>156</v>
      </c>
      <c r="F10" s="37">
        <f t="shared" si="0"/>
        <v>249</v>
      </c>
      <c r="G10" s="11"/>
      <c r="H10" s="11"/>
      <c r="I10" s="42">
        <v>5</v>
      </c>
      <c r="J10" s="18"/>
      <c r="K10" s="18">
        <v>10</v>
      </c>
      <c r="L10" s="37">
        <f t="shared" si="1"/>
        <v>774</v>
      </c>
      <c r="M10" s="11"/>
      <c r="N10" s="11"/>
      <c r="O10" s="11"/>
      <c r="P10" s="12"/>
    </row>
    <row r="11" spans="2:16" x14ac:dyDescent="0.2">
      <c r="B11" s="10"/>
      <c r="C11" s="45">
        <v>46244</v>
      </c>
      <c r="D11" s="18">
        <v>600</v>
      </c>
      <c r="E11" s="38">
        <v>289</v>
      </c>
      <c r="F11" s="37">
        <f t="shared" si="0"/>
        <v>560</v>
      </c>
      <c r="G11" s="11"/>
      <c r="H11" s="11"/>
      <c r="I11" s="42">
        <v>6</v>
      </c>
      <c r="J11" s="18"/>
      <c r="K11" s="18">
        <v>75</v>
      </c>
      <c r="L11" s="37">
        <f t="shared" si="1"/>
        <v>699</v>
      </c>
      <c r="M11" s="11"/>
      <c r="N11" s="11"/>
      <c r="O11" s="11"/>
      <c r="P11" s="12"/>
    </row>
    <row r="12" spans="2:16" x14ac:dyDescent="0.2">
      <c r="B12" s="10"/>
      <c r="C12" s="45">
        <v>46245</v>
      </c>
      <c r="D12" s="18"/>
      <c r="E12" s="38">
        <v>245</v>
      </c>
      <c r="F12" s="37">
        <f t="shared" si="0"/>
        <v>315</v>
      </c>
      <c r="G12" s="11"/>
      <c r="H12" s="11"/>
      <c r="I12" s="42">
        <v>7</v>
      </c>
      <c r="J12" s="18"/>
      <c r="K12" s="18">
        <v>110</v>
      </c>
      <c r="L12" s="37">
        <f t="shared" si="1"/>
        <v>589</v>
      </c>
      <c r="M12" s="11"/>
      <c r="N12" s="11"/>
      <c r="O12" s="11"/>
      <c r="P12" s="12"/>
    </row>
    <row r="13" spans="2:16" x14ac:dyDescent="0.2">
      <c r="B13" s="10"/>
      <c r="C13" s="45">
        <v>46246</v>
      </c>
      <c r="D13" s="18"/>
      <c r="E13" s="38">
        <v>123</v>
      </c>
      <c r="F13" s="37">
        <f t="shared" si="0"/>
        <v>192</v>
      </c>
      <c r="G13" s="11"/>
      <c r="H13" s="11"/>
      <c r="I13" s="42">
        <v>8</v>
      </c>
      <c r="J13" s="18"/>
      <c r="K13" s="18">
        <v>48</v>
      </c>
      <c r="L13" s="37">
        <f t="shared" si="1"/>
        <v>541</v>
      </c>
      <c r="M13" s="11"/>
      <c r="N13" s="11"/>
      <c r="O13" s="11"/>
      <c r="P13" s="12"/>
    </row>
    <row r="14" spans="2:16" x14ac:dyDescent="0.2">
      <c r="B14" s="10"/>
      <c r="C14" s="45">
        <v>46247</v>
      </c>
      <c r="D14" s="18"/>
      <c r="E14" s="38">
        <v>45</v>
      </c>
      <c r="F14" s="37">
        <f t="shared" si="0"/>
        <v>147</v>
      </c>
      <c r="G14" s="11"/>
      <c r="H14" s="11"/>
      <c r="I14" s="42">
        <v>9</v>
      </c>
      <c r="J14" s="18"/>
      <c r="K14" s="18"/>
      <c r="L14" s="37">
        <f t="shared" si="1"/>
        <v>541</v>
      </c>
      <c r="M14" s="11"/>
      <c r="N14" s="11"/>
      <c r="O14" s="11"/>
      <c r="P14" s="12"/>
    </row>
    <row r="15" spans="2:16" x14ac:dyDescent="0.2">
      <c r="B15" s="10"/>
      <c r="C15" s="45">
        <v>46248</v>
      </c>
      <c r="D15" s="18"/>
      <c r="E15" s="38">
        <v>79</v>
      </c>
      <c r="F15" s="37">
        <f t="shared" si="0"/>
        <v>68</v>
      </c>
      <c r="G15" s="11"/>
      <c r="H15" s="11"/>
      <c r="I15" s="42">
        <v>10</v>
      </c>
      <c r="J15" s="18"/>
      <c r="K15" s="18"/>
      <c r="L15" s="37">
        <f t="shared" si="1"/>
        <v>541</v>
      </c>
      <c r="M15" s="11"/>
      <c r="N15" s="11"/>
      <c r="O15" s="11"/>
      <c r="P15" s="12"/>
    </row>
    <row r="16" spans="2:16" x14ac:dyDescent="0.2">
      <c r="B16" s="10"/>
      <c r="C16" s="45">
        <v>46251</v>
      </c>
      <c r="D16" s="18">
        <v>610</v>
      </c>
      <c r="E16" s="38">
        <v>92</v>
      </c>
      <c r="F16" s="37">
        <f t="shared" si="0"/>
        <v>586</v>
      </c>
      <c r="G16" s="11"/>
      <c r="H16" s="11"/>
      <c r="I16" s="42">
        <v>11</v>
      </c>
      <c r="J16" s="18"/>
      <c r="K16" s="18"/>
      <c r="L16" s="37">
        <f t="shared" si="1"/>
        <v>541</v>
      </c>
      <c r="M16" s="11"/>
      <c r="N16" s="11"/>
      <c r="O16" s="11"/>
      <c r="P16" s="12"/>
    </row>
    <row r="17" spans="2:16" x14ac:dyDescent="0.2">
      <c r="B17" s="10"/>
      <c r="C17" s="45">
        <v>46252</v>
      </c>
      <c r="D17" s="18"/>
      <c r="E17" s="38">
        <v>235</v>
      </c>
      <c r="F17" s="37">
        <f t="shared" si="0"/>
        <v>351</v>
      </c>
      <c r="G17" s="11"/>
      <c r="H17" s="11"/>
      <c r="I17" s="42">
        <v>12</v>
      </c>
      <c r="J17" s="18"/>
      <c r="K17" s="18"/>
      <c r="L17" s="37">
        <f t="shared" si="1"/>
        <v>541</v>
      </c>
      <c r="M17" s="11"/>
      <c r="N17" s="11"/>
      <c r="O17" s="11"/>
      <c r="P17" s="12"/>
    </row>
    <row r="18" spans="2:16" x14ac:dyDescent="0.2">
      <c r="B18" s="10"/>
      <c r="C18" s="45">
        <v>46253</v>
      </c>
      <c r="D18" s="18"/>
      <c r="E18" s="38">
        <v>341</v>
      </c>
      <c r="F18" s="37">
        <f t="shared" si="0"/>
        <v>10</v>
      </c>
      <c r="G18" s="11"/>
      <c r="H18" s="11"/>
      <c r="I18" s="42">
        <v>13</v>
      </c>
      <c r="J18" s="18"/>
      <c r="K18" s="18"/>
      <c r="L18" s="37">
        <f t="shared" si="1"/>
        <v>541</v>
      </c>
      <c r="M18" s="11"/>
      <c r="N18" s="11"/>
      <c r="O18" s="11"/>
      <c r="P18" s="12"/>
    </row>
    <row r="19" spans="2:16" x14ac:dyDescent="0.2">
      <c r="B19" s="10"/>
      <c r="C19" s="45">
        <v>46254</v>
      </c>
      <c r="D19" s="18">
        <v>170</v>
      </c>
      <c r="E19" s="38">
        <v>123</v>
      </c>
      <c r="F19" s="37">
        <f t="shared" si="0"/>
        <v>57</v>
      </c>
      <c r="G19" s="11"/>
      <c r="H19" s="11"/>
      <c r="I19" s="47">
        <v>14</v>
      </c>
      <c r="J19" s="18"/>
      <c r="K19" s="18"/>
      <c r="L19" s="37">
        <f t="shared" si="1"/>
        <v>541</v>
      </c>
      <c r="M19" s="11"/>
      <c r="N19" s="11"/>
      <c r="O19" s="11"/>
      <c r="P19" s="12"/>
    </row>
    <row r="20" spans="2:16" ht="15.75" x14ac:dyDescent="0.25">
      <c r="B20" s="10"/>
      <c r="C20" s="46">
        <v>46255</v>
      </c>
      <c r="D20" s="39"/>
      <c r="E20" s="39">
        <v>50</v>
      </c>
      <c r="F20" s="40">
        <f t="shared" si="0"/>
        <v>7</v>
      </c>
      <c r="G20" s="11"/>
      <c r="H20" s="11"/>
      <c r="I20" s="31" t="s">
        <v>6</v>
      </c>
      <c r="J20" s="27">
        <f>SUBTOTAL(9,J6:J19)</f>
        <v>848</v>
      </c>
      <c r="K20" s="27">
        <f>SUBTOTAL(9,K6:K19)</f>
        <v>307</v>
      </c>
      <c r="L20" s="34">
        <f>L19</f>
        <v>541</v>
      </c>
      <c r="M20" s="11"/>
      <c r="N20" s="11"/>
      <c r="O20" s="11"/>
      <c r="P20" s="12"/>
    </row>
    <row r="21" spans="2:16" x14ac:dyDescent="0.2">
      <c r="B21" s="13"/>
      <c r="C21" s="4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5"/>
    </row>
    <row r="22" spans="2:16" x14ac:dyDescent="0.2"/>
    <row r="23" spans="2:16" x14ac:dyDescent="0.2"/>
  </sheetData>
  <mergeCells count="1">
    <mergeCell ref="C4:E4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691CB-63AE-4BDF-9F6E-154CE45A314C}">
  <dimension ref="B1:P23"/>
  <sheetViews>
    <sheetView showGridLines="0" tabSelected="1" workbookViewId="0"/>
  </sheetViews>
  <sheetFormatPr defaultColWidth="0" defaultRowHeight="15" customHeight="1" zeroHeight="1" x14ac:dyDescent="0.2"/>
  <cols>
    <col min="1" max="1" width="3.77734375" customWidth="1"/>
    <col min="2" max="16" width="9.109375" customWidth="1"/>
    <col min="17" max="17" width="3.77734375" customWidth="1"/>
    <col min="18" max="16384" width="8.88671875" hidden="1"/>
  </cols>
  <sheetData>
    <row r="1" spans="2:16" ht="30" customHeight="1" thickTop="1" thickBot="1" x14ac:dyDescent="0.25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spans="2:16" ht="30" customHeight="1" thickTop="1" x14ac:dyDescent="0.2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</row>
    <row r="3" spans="2:16" x14ac:dyDescent="0.2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9"/>
    </row>
    <row r="4" spans="2:16" ht="15.75" x14ac:dyDescent="0.25">
      <c r="B4" s="10"/>
      <c r="C4" s="19" t="s">
        <v>7</v>
      </c>
      <c r="D4" s="20"/>
      <c r="E4" s="20"/>
      <c r="F4" s="32"/>
      <c r="G4" s="32"/>
      <c r="H4" s="32"/>
      <c r="I4" s="32"/>
      <c r="J4" s="48">
        <v>2026</v>
      </c>
      <c r="K4" s="11"/>
      <c r="L4" s="69">
        <v>2026</v>
      </c>
      <c r="M4" s="70"/>
      <c r="N4" s="71"/>
      <c r="O4" s="11"/>
      <c r="P4" s="12"/>
    </row>
    <row r="5" spans="2:16" x14ac:dyDescent="0.2">
      <c r="B5" s="10"/>
      <c r="C5" s="49" t="s">
        <v>10</v>
      </c>
      <c r="D5" s="50"/>
      <c r="E5" s="51" t="s">
        <v>0</v>
      </c>
      <c r="F5" s="52" t="s">
        <v>11</v>
      </c>
      <c r="G5" s="52" t="s">
        <v>12</v>
      </c>
      <c r="H5" s="52" t="s">
        <v>13</v>
      </c>
      <c r="I5" s="52" t="s">
        <v>14</v>
      </c>
      <c r="J5" s="53" t="s">
        <v>15</v>
      </c>
      <c r="K5" s="11"/>
      <c r="L5" s="54" t="s">
        <v>28</v>
      </c>
      <c r="M5" s="55"/>
      <c r="N5" s="66"/>
      <c r="O5" s="11"/>
      <c r="P5" s="12"/>
    </row>
    <row r="6" spans="2:16" x14ac:dyDescent="0.2">
      <c r="B6" s="10"/>
      <c r="C6" s="56" t="s">
        <v>16</v>
      </c>
      <c r="D6" s="57"/>
      <c r="E6" s="61">
        <v>187</v>
      </c>
      <c r="F6" s="61">
        <v>261</v>
      </c>
      <c r="G6" s="61">
        <v>396</v>
      </c>
      <c r="H6" s="61">
        <v>727</v>
      </c>
      <c r="I6" s="61">
        <v>602</v>
      </c>
      <c r="J6" s="63">
        <v>893</v>
      </c>
      <c r="K6" s="11"/>
      <c r="L6" s="74">
        <f>AVERAGE(E6:J6)</f>
        <v>511</v>
      </c>
      <c r="M6" s="74">
        <v>511</v>
      </c>
      <c r="N6" s="74">
        <f>L6</f>
        <v>511</v>
      </c>
      <c r="O6" s="11"/>
      <c r="P6" s="12"/>
    </row>
    <row r="7" spans="2:16" x14ac:dyDescent="0.2">
      <c r="B7" s="10"/>
      <c r="C7" s="58" t="s">
        <v>17</v>
      </c>
      <c r="D7" s="17"/>
      <c r="E7" s="16">
        <v>998</v>
      </c>
      <c r="F7" s="16">
        <v>51</v>
      </c>
      <c r="G7" s="16">
        <v>379</v>
      </c>
      <c r="H7" s="16">
        <v>81</v>
      </c>
      <c r="I7" s="16">
        <v>552</v>
      </c>
      <c r="J7" s="64">
        <v>89</v>
      </c>
      <c r="K7" s="11"/>
      <c r="L7" s="75">
        <f t="shared" ref="L7:M17" si="0">AVERAGE(E7:J7)</f>
        <v>358.33333333333331</v>
      </c>
      <c r="M7" s="75">
        <v>358.33333333333331</v>
      </c>
      <c r="N7" s="75">
        <f t="shared" ref="N7:N17" si="1">L7</f>
        <v>358.33333333333331</v>
      </c>
      <c r="O7" s="11"/>
      <c r="P7" s="12"/>
    </row>
    <row r="8" spans="2:16" x14ac:dyDescent="0.2">
      <c r="B8" s="10"/>
      <c r="C8" s="58" t="s">
        <v>18</v>
      </c>
      <c r="D8" s="17"/>
      <c r="E8" s="16">
        <v>584</v>
      </c>
      <c r="F8" s="16">
        <v>658</v>
      </c>
      <c r="G8" s="16">
        <v>641</v>
      </c>
      <c r="H8" s="16">
        <v>610</v>
      </c>
      <c r="I8" s="16">
        <v>120</v>
      </c>
      <c r="J8" s="64">
        <v>401</v>
      </c>
      <c r="K8" s="11"/>
      <c r="L8" s="75">
        <f t="shared" si="0"/>
        <v>502.33333333333331</v>
      </c>
      <c r="M8" s="75">
        <v>502.33333333333331</v>
      </c>
      <c r="N8" s="75">
        <f t="shared" si="1"/>
        <v>502.33333333333331</v>
      </c>
      <c r="O8" s="11"/>
      <c r="P8" s="12"/>
    </row>
    <row r="9" spans="2:16" x14ac:dyDescent="0.2">
      <c r="B9" s="10"/>
      <c r="C9" s="58" t="s">
        <v>19</v>
      </c>
      <c r="D9" s="17"/>
      <c r="E9" s="16">
        <v>917</v>
      </c>
      <c r="F9" s="16">
        <v>63</v>
      </c>
      <c r="G9" s="16">
        <v>139</v>
      </c>
      <c r="H9" s="16">
        <v>82</v>
      </c>
      <c r="I9" s="16">
        <v>247</v>
      </c>
      <c r="J9" s="64">
        <v>524</v>
      </c>
      <c r="K9" s="11"/>
      <c r="L9" s="75">
        <f t="shared" si="0"/>
        <v>328.66666666666669</v>
      </c>
      <c r="M9" s="75">
        <v>328.66666666666669</v>
      </c>
      <c r="N9" s="75">
        <f t="shared" si="1"/>
        <v>328.66666666666669</v>
      </c>
      <c r="O9" s="11"/>
      <c r="P9" s="12"/>
    </row>
    <row r="10" spans="2:16" x14ac:dyDescent="0.2">
      <c r="B10" s="10"/>
      <c r="C10" s="58" t="s">
        <v>20</v>
      </c>
      <c r="D10" s="17"/>
      <c r="E10" s="16">
        <v>155</v>
      </c>
      <c r="F10" s="16">
        <v>171</v>
      </c>
      <c r="G10" s="16">
        <v>63</v>
      </c>
      <c r="H10" s="16">
        <v>980</v>
      </c>
      <c r="I10" s="16">
        <v>351</v>
      </c>
      <c r="J10" s="64">
        <v>85</v>
      </c>
      <c r="K10" s="11"/>
      <c r="L10" s="75">
        <f t="shared" si="0"/>
        <v>300.83333333333331</v>
      </c>
      <c r="M10" s="75">
        <v>300.83333333333331</v>
      </c>
      <c r="N10" s="75">
        <f t="shared" si="1"/>
        <v>300.83333333333331</v>
      </c>
      <c r="O10" s="11"/>
      <c r="P10" s="12"/>
    </row>
    <row r="11" spans="2:16" x14ac:dyDescent="0.2">
      <c r="B11" s="10"/>
      <c r="C11" s="58" t="s">
        <v>21</v>
      </c>
      <c r="D11" s="17"/>
      <c r="E11" s="16">
        <v>452</v>
      </c>
      <c r="F11" s="16">
        <v>471</v>
      </c>
      <c r="G11" s="16">
        <v>915</v>
      </c>
      <c r="H11" s="16">
        <v>462</v>
      </c>
      <c r="I11" s="16">
        <v>950</v>
      </c>
      <c r="J11" s="64">
        <v>775</v>
      </c>
      <c r="K11" s="11"/>
      <c r="L11" s="75">
        <f t="shared" si="0"/>
        <v>670.83333333333337</v>
      </c>
      <c r="M11" s="75">
        <v>670.83333333333337</v>
      </c>
      <c r="N11" s="75">
        <f t="shared" si="1"/>
        <v>670.83333333333337</v>
      </c>
      <c r="O11" s="11"/>
      <c r="P11" s="12"/>
    </row>
    <row r="12" spans="2:16" x14ac:dyDescent="0.2">
      <c r="B12" s="10"/>
      <c r="C12" s="58" t="s">
        <v>22</v>
      </c>
      <c r="D12" s="17"/>
      <c r="E12" s="16">
        <v>52</v>
      </c>
      <c r="F12" s="16">
        <v>708</v>
      </c>
      <c r="G12" s="16">
        <v>363</v>
      </c>
      <c r="H12" s="16">
        <v>717</v>
      </c>
      <c r="I12" s="16">
        <v>824</v>
      </c>
      <c r="J12" s="64">
        <v>904</v>
      </c>
      <c r="K12" s="11"/>
      <c r="L12" s="75">
        <f t="shared" si="0"/>
        <v>594.66666666666663</v>
      </c>
      <c r="M12" s="75">
        <v>594.66666666666663</v>
      </c>
      <c r="N12" s="75">
        <f t="shared" si="1"/>
        <v>594.66666666666663</v>
      </c>
      <c r="O12" s="11"/>
      <c r="P12" s="12"/>
    </row>
    <row r="13" spans="2:16" x14ac:dyDescent="0.2">
      <c r="B13" s="10"/>
      <c r="C13" s="58" t="s">
        <v>23</v>
      </c>
      <c r="D13" s="17"/>
      <c r="E13" s="16">
        <v>975</v>
      </c>
      <c r="F13" s="16">
        <v>250</v>
      </c>
      <c r="G13" s="16">
        <v>143</v>
      </c>
      <c r="H13" s="16">
        <v>303</v>
      </c>
      <c r="I13" s="16">
        <v>847</v>
      </c>
      <c r="J13" s="64">
        <v>292</v>
      </c>
      <c r="K13" s="11"/>
      <c r="L13" s="75">
        <f t="shared" si="0"/>
        <v>468.33333333333331</v>
      </c>
      <c r="M13" s="75">
        <v>468.33333333333331</v>
      </c>
      <c r="N13" s="75">
        <f t="shared" si="1"/>
        <v>468.33333333333331</v>
      </c>
      <c r="O13" s="11"/>
      <c r="P13" s="12"/>
    </row>
    <row r="14" spans="2:16" x14ac:dyDescent="0.2">
      <c r="B14" s="10"/>
      <c r="C14" s="58" t="s">
        <v>24</v>
      </c>
      <c r="D14" s="17"/>
      <c r="E14" s="16">
        <v>705</v>
      </c>
      <c r="F14" s="16">
        <v>854</v>
      </c>
      <c r="G14" s="16">
        <v>786</v>
      </c>
      <c r="H14" s="16">
        <v>65</v>
      </c>
      <c r="I14" s="16">
        <v>416</v>
      </c>
      <c r="J14" s="64">
        <v>574</v>
      </c>
      <c r="K14" s="11"/>
      <c r="L14" s="75">
        <f t="shared" si="0"/>
        <v>566.66666666666663</v>
      </c>
      <c r="M14" s="75">
        <v>566.66666666666663</v>
      </c>
      <c r="N14" s="75">
        <f t="shared" si="1"/>
        <v>566.66666666666663</v>
      </c>
      <c r="O14" s="11"/>
      <c r="P14" s="12"/>
    </row>
    <row r="15" spans="2:16" x14ac:dyDescent="0.2">
      <c r="B15" s="10"/>
      <c r="C15" s="58" t="s">
        <v>25</v>
      </c>
      <c r="D15" s="17"/>
      <c r="E15" s="16">
        <v>369</v>
      </c>
      <c r="F15" s="16">
        <v>656</v>
      </c>
      <c r="G15" s="16">
        <v>582</v>
      </c>
      <c r="H15" s="16">
        <v>628</v>
      </c>
      <c r="I15" s="16">
        <v>741</v>
      </c>
      <c r="J15" s="64">
        <v>246</v>
      </c>
      <c r="K15" s="11"/>
      <c r="L15" s="75">
        <f t="shared" si="0"/>
        <v>537</v>
      </c>
      <c r="M15" s="75">
        <v>537</v>
      </c>
      <c r="N15" s="75">
        <f t="shared" si="1"/>
        <v>537</v>
      </c>
      <c r="O15" s="11"/>
      <c r="P15" s="12"/>
    </row>
    <row r="16" spans="2:16" x14ac:dyDescent="0.2">
      <c r="B16" s="10"/>
      <c r="C16" s="58" t="s">
        <v>26</v>
      </c>
      <c r="D16" s="17"/>
      <c r="E16" s="16">
        <v>84</v>
      </c>
      <c r="F16" s="16">
        <v>199</v>
      </c>
      <c r="G16" s="16">
        <v>214</v>
      </c>
      <c r="H16" s="16">
        <v>20</v>
      </c>
      <c r="I16" s="16">
        <v>340</v>
      </c>
      <c r="J16" s="64">
        <v>772</v>
      </c>
      <c r="K16" s="11"/>
      <c r="L16" s="75">
        <f t="shared" si="0"/>
        <v>271.5</v>
      </c>
      <c r="M16" s="75">
        <v>271.5</v>
      </c>
      <c r="N16" s="75">
        <f t="shared" si="1"/>
        <v>271.5</v>
      </c>
      <c r="O16" s="11"/>
      <c r="P16" s="12"/>
    </row>
    <row r="17" spans="2:16" x14ac:dyDescent="0.2">
      <c r="B17" s="10"/>
      <c r="C17" s="59" t="s">
        <v>27</v>
      </c>
      <c r="D17" s="60"/>
      <c r="E17" s="62">
        <v>982</v>
      </c>
      <c r="F17" s="62">
        <v>409</v>
      </c>
      <c r="G17" s="62">
        <v>97</v>
      </c>
      <c r="H17" s="62">
        <v>355</v>
      </c>
      <c r="I17" s="62">
        <v>589</v>
      </c>
      <c r="J17" s="65">
        <v>607</v>
      </c>
      <c r="K17" s="11"/>
      <c r="L17" s="76">
        <f t="shared" si="0"/>
        <v>506.5</v>
      </c>
      <c r="M17" s="76">
        <v>506.5</v>
      </c>
      <c r="N17" s="76">
        <f t="shared" si="1"/>
        <v>506.5</v>
      </c>
      <c r="O17" s="11"/>
      <c r="P17" s="12"/>
    </row>
    <row r="18" spans="2:16" x14ac:dyDescent="0.2">
      <c r="B18" s="10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2"/>
    </row>
    <row r="19" spans="2:16" ht="15.75" x14ac:dyDescent="0.2">
      <c r="B19" s="10"/>
      <c r="C19" s="24" t="s">
        <v>29</v>
      </c>
      <c r="D19" s="11"/>
      <c r="G19" s="26" t="s">
        <v>33</v>
      </c>
      <c r="H19" s="53">
        <v>900</v>
      </c>
      <c r="J19" s="11"/>
      <c r="K19" s="11"/>
      <c r="L19" s="26" t="s">
        <v>29</v>
      </c>
      <c r="M19" s="32"/>
      <c r="N19" s="33"/>
      <c r="O19" s="11"/>
      <c r="P19" s="12"/>
    </row>
    <row r="20" spans="2:16" ht="15.75" x14ac:dyDescent="0.2">
      <c r="B20" s="10"/>
      <c r="C20" s="72" t="s">
        <v>35</v>
      </c>
      <c r="D20" s="73" t="s">
        <v>36</v>
      </c>
      <c r="G20" s="26" t="s">
        <v>34</v>
      </c>
      <c r="H20" s="53">
        <v>150</v>
      </c>
      <c r="I20" s="11"/>
      <c r="J20" s="11"/>
      <c r="K20" s="11"/>
      <c r="L20" s="67" t="s">
        <v>30</v>
      </c>
      <c r="M20" s="68" t="s">
        <v>31</v>
      </c>
      <c r="N20" s="67" t="s">
        <v>32</v>
      </c>
      <c r="O20" s="11"/>
      <c r="P20" s="12"/>
    </row>
    <row r="21" spans="2:16" x14ac:dyDescent="0.2">
      <c r="B21" s="13"/>
      <c r="C21" s="14"/>
      <c r="D21" s="14"/>
      <c r="E21" s="14"/>
      <c r="F21" s="14"/>
      <c r="G21" s="14"/>
      <c r="H21" s="14"/>
      <c r="I21" s="14"/>
      <c r="J21" s="14"/>
      <c r="K21" s="14"/>
      <c r="L21" s="77"/>
      <c r="M21" s="78"/>
      <c r="N21" s="79"/>
      <c r="O21" s="14"/>
      <c r="P21" s="15"/>
    </row>
    <row r="22" spans="2:16" x14ac:dyDescent="0.2"/>
    <row r="23" spans="2:16" x14ac:dyDescent="0.2"/>
  </sheetData>
  <mergeCells count="16">
    <mergeCell ref="C13:D13"/>
    <mergeCell ref="C14:D14"/>
    <mergeCell ref="C15:D15"/>
    <mergeCell ref="C16:D16"/>
    <mergeCell ref="C17:D17"/>
    <mergeCell ref="L4:N4"/>
    <mergeCell ref="L5:N5"/>
    <mergeCell ref="C4:E4"/>
    <mergeCell ref="C5:D5"/>
    <mergeCell ref="C6:D6"/>
    <mergeCell ref="C7:D7"/>
    <mergeCell ref="C8:D8"/>
    <mergeCell ref="C9:D9"/>
    <mergeCell ref="C10:D10"/>
    <mergeCell ref="C11:D11"/>
    <mergeCell ref="C12:D12"/>
  </mergeCells>
  <phoneticPr fontId="3" type="noConversion"/>
  <conditionalFormatting sqref="E6:J17">
    <cfRule type="cellIs" dxfId="3" priority="4" operator="lessThanOrEqual">
      <formula>$H$20</formula>
    </cfRule>
    <cfRule type="cellIs" dxfId="2" priority="3" operator="greaterThan">
      <formula>$H$19</formula>
    </cfRule>
  </conditionalFormatting>
  <conditionalFormatting sqref="M6:M17">
    <cfRule type="iconSet" priority="2">
      <iconSet iconSet="3Flags" showValue="0" reverse="1">
        <cfvo type="percent" val="0"/>
        <cfvo type="num" val="320" gte="0"/>
        <cfvo type="num" val="550" gte="0"/>
      </iconSet>
    </cfRule>
  </conditionalFormatting>
  <conditionalFormatting sqref="N6:N17">
    <cfRule type="dataBar" priority="1">
      <dataBar showValue="0">
        <cfvo type="min"/>
        <cfvo type="max"/>
        <color theme="6" tint="0.39997558519241921"/>
      </dataBar>
      <extLst>
        <ext xmlns:x14="http://schemas.microsoft.com/office/spreadsheetml/2009/9/main" uri="{B025F937-C7B1-47D3-B67F-A62EFF666E3E}">
          <x14:id>{ADDC29BC-270F-4279-94AC-FEDF2000B01F}</x14:id>
        </ext>
      </extLst>
    </cfRule>
  </conditionalFormatting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DDC29BC-270F-4279-94AC-FEDF2000B01F}">
            <x14:dataBar minLength="0" maxLength="100" border="1">
              <x14:cfvo type="autoMin"/>
              <x14:cfvo type="autoMax"/>
              <x14:borderColor rgb="FF000000"/>
              <x14:negativeFillColor rgb="FFFF0000"/>
              <x14:axisColor rgb="FF000000"/>
            </x14:dataBar>
          </x14:cfRule>
          <xm:sqref>N6:N17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Menu</vt:lpstr>
      <vt:lpstr>Lançamentos</vt:lpstr>
      <vt:lpstr>Relatórios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Vagner Daniel</dc:creator>
  <cp:lastModifiedBy>Vagner Daniel</cp:lastModifiedBy>
  <dcterms:created xsi:type="dcterms:W3CDTF">2026-08-28T15:30:55Z</dcterms:created>
  <dcterms:modified xsi:type="dcterms:W3CDTF">2026-08-28T18:27:09Z</dcterms:modified>
</cp:coreProperties>
</file>