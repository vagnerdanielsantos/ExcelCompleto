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4/Projetos/"/>
    </mc:Choice>
  </mc:AlternateContent>
  <xr:revisionPtr revIDLastSave="28" documentId="8_{BF9FC48A-9C71-42C3-9536-6F06C061AED8}" xr6:coauthVersionLast="47" xr6:coauthVersionMax="47" xr10:uidLastSave="{39643F9D-17F0-4551-8673-55C65DC00DF9}"/>
  <bookViews>
    <workbookView xWindow="-120" yWindow="-120" windowWidth="20730" windowHeight="11760" activeTab="2" xr2:uid="{A1A5DEBA-A486-475D-BB5C-D4D6CD93AF07}"/>
  </bookViews>
  <sheets>
    <sheet name="Menu" sheetId="1" r:id="rId1"/>
    <sheet name="Lançamentos" sheetId="2" r:id="rId2"/>
    <sheet name="Relató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" i="2" l="1"/>
  <c r="J20" i="2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7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</calcChain>
</file>

<file path=xl/sharedStrings.xml><?xml version="1.0" encoding="utf-8"?>
<sst xmlns="http://schemas.openxmlformats.org/spreadsheetml/2006/main" count="37" uniqueCount="33">
  <si>
    <t>P01</t>
  </si>
  <si>
    <t>Dia</t>
  </si>
  <si>
    <t>Entrada</t>
  </si>
  <si>
    <t>Saída</t>
  </si>
  <si>
    <t>Saldo</t>
  </si>
  <si>
    <t>Número</t>
  </si>
  <si>
    <t>TOTAL</t>
  </si>
  <si>
    <t>Evolução Mensal do Estoque</t>
  </si>
  <si>
    <t>Registro Diário de Movimentação</t>
  </si>
  <si>
    <t>P01 - Detalhamento do Dia</t>
  </si>
  <si>
    <t>Mês</t>
  </si>
  <si>
    <t>P02</t>
  </si>
  <si>
    <t>P03</t>
  </si>
  <si>
    <t>P04</t>
  </si>
  <si>
    <t>P05</t>
  </si>
  <si>
    <t>P06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</si>
  <si>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</si>
  <si>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</si>
  <si>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</si>
  <si>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</si>
  <si>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</si>
  <si>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</si>
  <si>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</si>
  <si>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</si>
  <si>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</si>
  <si>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</si>
  <si>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</si>
  <si>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</si>
  <si>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</t>
  </si>
  <si>
    <t>Legenda</t>
  </si>
  <si>
    <t>&lt;= 320</t>
  </si>
  <si>
    <t>&lt; e &lt;= 550</t>
  </si>
  <si>
    <t>&gt;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</si>
</sst>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/>
      <diagonal/>
    </border>
    <border>
      <left/>
      <right/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/>
      <bottom/>
      <diagonal/>
    </border>
    <border>
      <left/>
      <right style="thin">
        <color rgb="FF92D050"/>
      </right>
      <top/>
      <bottom/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/>
      <top/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/>
      <right/>
      <top style="thin">
        <color rgb="FF92D050"/>
      </top>
      <bottom style="thin">
        <color theme="9" tint="-0.24994659260841701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/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righ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/>
    <xf numFmtId="14" fontId="2" fillId="0" borderId="18" xfId="0" applyNumberFormat="1" applyFont="1" applyBorder="1"/>
    <xf numFmtId="0" fontId="0" fillId="0" borderId="16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8" xfId="0" applyFont="1" applyBorder="1"/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14" fontId="0" fillId="0" borderId="19" xfId="0" applyNumberFormat="1" applyBorder="1"/>
    <xf numFmtId="14" fontId="0" fillId="0" borderId="27" xfId="0" applyNumberFormat="1" applyBorder="1"/>
    <xf numFmtId="14" fontId="0" fillId="0" borderId="22" xfId="0" applyNumberFormat="1" applyBorder="1"/>
    <xf numFmtId="14" fontId="0" fillId="0" borderId="24" xfId="0" applyNumberFormat="1" applyBorder="1"/>
    <xf numFmtId="0" fontId="0" fillId="0" borderId="24" xfId="0" applyBorder="1" applyAlignment="1">
      <alignment horizontal="center"/>
    </xf>
    <xf numFmtId="0" fontId="2" fillId="0" borderId="18" xfId="0" applyFont="1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5" xfId="0" applyBorder="1" applyAlignment="1">
      <alignment horizontal="center" vertical="center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hyperlink" Target="#Relat&#243;rios!A1"/><Relationship Id="rId1" Type="http://schemas.openxmlformats.org/officeDocument/2006/relationships/hyperlink" Target="#Lan&#231;amento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Relat&#243;rios!A1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s!A1"/><Relationship Id="rId2" Type="http://schemas.openxmlformats.org/officeDocument/2006/relationships/hyperlink" Target="#Lan&#231;amentos!A1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E8A2981-89BB-4207-54DB-E3D2688F2EA5}"/>
            </a:ext>
          </a:extLst>
        </xdr:cNvPr>
        <xdr:cNvSpPr txBox="1"/>
      </xdr:nvSpPr>
      <xdr:spPr>
        <a:xfrm>
          <a:off x="323850" y="9525"/>
          <a:ext cx="3810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BDB0DC1F-87C2-DCA8-C936-94B02BB4536B}"/>
            </a:ext>
          </a:extLst>
        </xdr:cNvPr>
        <xdr:cNvSpPr/>
      </xdr:nvSpPr>
      <xdr:spPr>
        <a:xfrm>
          <a:off x="352425" y="381000"/>
          <a:ext cx="1905000" cy="381000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8EE1C-B475-4A05-96C9-E6573033536B}"/>
            </a:ext>
          </a:extLst>
        </xdr:cNvPr>
        <xdr:cNvSpPr/>
      </xdr:nvSpPr>
      <xdr:spPr>
        <a:xfrm>
          <a:off x="2276475" y="381000"/>
          <a:ext cx="1905000" cy="37147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931EC1-78F0-40B3-94D0-111E4FD8D519}"/>
            </a:ext>
          </a:extLst>
        </xdr:cNvPr>
        <xdr:cNvSpPr/>
      </xdr:nvSpPr>
      <xdr:spPr>
        <a:xfrm>
          <a:off x="4200525" y="381000"/>
          <a:ext cx="19050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  <xdr:twoCellAnchor editAs="oneCell">
    <xdr:from>
      <xdr:col>6</xdr:col>
      <xdr:colOff>123825</xdr:colOff>
      <xdr:row>4</xdr:row>
      <xdr:rowOff>161925</xdr:rowOff>
    </xdr:from>
    <xdr:to>
      <xdr:col>11</xdr:col>
      <xdr:colOff>28575</xdr:colOff>
      <xdr:row>18</xdr:row>
      <xdr:rowOff>28575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BD8F358-28A2-4CA5-760D-7CDC46214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1304925"/>
          <a:ext cx="3810000" cy="2533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65CB1B9-F57B-42B8-ADB6-3F9CE1261228}"/>
            </a:ext>
          </a:extLst>
        </xdr:cNvPr>
        <xdr:cNvSpPr txBox="1"/>
      </xdr:nvSpPr>
      <xdr:spPr>
        <a:xfrm>
          <a:off x="323850" y="9525"/>
          <a:ext cx="39052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6246EE-1E4F-48D2-B673-E44DA851DF9F}"/>
            </a:ext>
          </a:extLst>
        </xdr:cNvPr>
        <xdr:cNvSpPr/>
      </xdr:nvSpPr>
      <xdr:spPr>
        <a:xfrm>
          <a:off x="35242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extLst>
            <a:ext uri="{FF2B5EF4-FFF2-40B4-BE49-F238E27FC236}">
              <a16:creationId xmlns:a16="http://schemas.microsoft.com/office/drawing/2014/main" id="{CE48DA2F-6A6C-49D4-924B-60755A3CA282}"/>
            </a:ext>
          </a:extLst>
        </xdr:cNvPr>
        <xdr:cNvSpPr/>
      </xdr:nvSpPr>
      <xdr:spPr>
        <a:xfrm>
          <a:off x="2314575" y="381000"/>
          <a:ext cx="1962150" cy="371475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5E1909-B851-4C29-83BA-34E738387C44}"/>
            </a:ext>
          </a:extLst>
        </xdr:cNvPr>
        <xdr:cNvSpPr/>
      </xdr:nvSpPr>
      <xdr:spPr>
        <a:xfrm>
          <a:off x="429577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C3AD4B0-E458-4BCC-8021-57010F46FB36}"/>
            </a:ext>
          </a:extLst>
        </xdr:cNvPr>
        <xdr:cNvSpPr txBox="1"/>
      </xdr:nvSpPr>
      <xdr:spPr>
        <a:xfrm>
          <a:off x="323850" y="9525"/>
          <a:ext cx="39052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9A7528-08DD-4A3F-8560-E46F745A4718}"/>
            </a:ext>
          </a:extLst>
        </xdr:cNvPr>
        <xdr:cNvSpPr/>
      </xdr:nvSpPr>
      <xdr:spPr>
        <a:xfrm>
          <a:off x="35242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02568B-3A08-47D0-851D-B4E745847A50}"/>
            </a:ext>
          </a:extLst>
        </xdr:cNvPr>
        <xdr:cNvSpPr/>
      </xdr:nvSpPr>
      <xdr:spPr>
        <a:xfrm>
          <a:off x="2314575" y="381000"/>
          <a:ext cx="1962150" cy="37147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34A13D-C5D5-45B2-B14F-A1055B6146BC}"/>
            </a:ext>
          </a:extLst>
        </xdr:cNvPr>
        <xdr:cNvSpPr/>
      </xdr:nvSpPr>
      <xdr:spPr>
        <a:xfrm>
          <a:off x="4295775" y="381000"/>
          <a:ext cx="1943100" cy="381000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6115-3F88-497F-B568-476E7F9B4C97}">
  <dimension ref="B1:P23"/>
  <sheetViews>
    <sheetView showGridLines="0" workbookViewId="0"/>
  </sheetViews>
  <sheetFormatPr defaultColWidth="0" defaultRowHeight="15" zeroHeight="1" x14ac:dyDescent="0.2"/>
  <cols>
    <col min="1" max="1" width="3.77734375" customWidth="1"/>
    <col min="2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2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2:16" x14ac:dyDescent="0.2"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2:16" x14ac:dyDescent="0.2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2:16" x14ac:dyDescent="0.2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2:16" x14ac:dyDescent="0.2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2:16" x14ac:dyDescent="0.2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2:16" x14ac:dyDescent="0.2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2:16" x14ac:dyDescent="0.2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2:16" x14ac:dyDescent="0.2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pans="2:16" x14ac:dyDescent="0.2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pans="2:16" x14ac:dyDescent="0.2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spans="2:16" x14ac:dyDescent="0.2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pans="2:16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spans="2:16" x14ac:dyDescent="0.2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</row>
    <row r="18" spans="2:16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2:16" x14ac:dyDescent="0.2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  <row r="20" spans="2:16" x14ac:dyDescent="0.2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2:16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316F-ED68-4E57-ACA0-4A71973800BA}">
  <dimension ref="B1:P23"/>
  <sheetViews>
    <sheetView showGridLines="0" topLeftCell="A2" workbookViewId="0">
      <selection activeCell="A2" sqref="A2"/>
    </sheetView>
  </sheetViews>
  <sheetFormatPr defaultColWidth="0" defaultRowHeight="15" customHeight="1" zeroHeight="1" x14ac:dyDescent="0.2"/>
  <cols>
    <col min="1" max="1" width="3.77734375" customWidth="1"/>
    <col min="2" max="2" width="9.109375" customWidth="1"/>
    <col min="3" max="3" width="9.77734375" customWidth="1"/>
    <col min="4" max="4" width="9.109375" customWidth="1"/>
    <col min="5" max="5" width="10.5546875" customWidth="1"/>
    <col min="6" max="11" width="9.109375" customWidth="1"/>
    <col min="12" max="12" width="9.88671875" customWidth="1"/>
    <col min="13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ht="15.75" x14ac:dyDescent="0.25">
      <c r="B4" s="10"/>
      <c r="C4" s="19" t="s">
        <v>8</v>
      </c>
      <c r="D4" s="20"/>
      <c r="E4" s="20"/>
      <c r="F4" s="24" t="s">
        <v>0</v>
      </c>
      <c r="G4" s="11"/>
      <c r="H4" s="11"/>
      <c r="I4" s="25" t="s">
        <v>9</v>
      </c>
      <c r="J4" s="26"/>
      <c r="K4" s="26"/>
      <c r="L4" s="27">
        <v>46262</v>
      </c>
      <c r="M4" s="11"/>
      <c r="N4" s="11"/>
      <c r="O4" s="11"/>
      <c r="P4" s="12"/>
    </row>
    <row r="5" spans="2:16" x14ac:dyDescent="0.2">
      <c r="B5" s="10"/>
      <c r="C5" s="21" t="s">
        <v>1</v>
      </c>
      <c r="D5" s="22" t="s">
        <v>2</v>
      </c>
      <c r="E5" s="22" t="s">
        <v>3</v>
      </c>
      <c r="F5" s="23" t="s">
        <v>4</v>
      </c>
      <c r="G5" s="11"/>
      <c r="H5" s="11"/>
      <c r="I5" s="28" t="s">
        <v>5</v>
      </c>
      <c r="J5" s="29" t="s">
        <v>2</v>
      </c>
      <c r="K5" s="29" t="s">
        <v>3</v>
      </c>
      <c r="L5" s="23" t="s">
        <v>4</v>
      </c>
      <c r="M5" s="11"/>
      <c r="N5" s="11"/>
      <c r="O5" s="11"/>
      <c r="P5" s="12"/>
    </row>
    <row r="6" spans="2:16" x14ac:dyDescent="0.2">
      <c r="B6" s="10"/>
      <c r="C6" s="42">
        <v>46237</v>
      </c>
      <c r="D6" s="34"/>
      <c r="E6" s="34"/>
      <c r="F6" s="35">
        <v>950</v>
      </c>
      <c r="G6" s="11"/>
      <c r="H6" s="11"/>
      <c r="I6" s="40">
        <v>1</v>
      </c>
      <c r="J6" s="34">
        <v>248</v>
      </c>
      <c r="K6" s="34"/>
      <c r="L6" s="35">
        <v>248</v>
      </c>
      <c r="M6" s="11"/>
      <c r="N6" s="11"/>
      <c r="O6" s="11"/>
      <c r="P6" s="12"/>
    </row>
    <row r="7" spans="2:16" x14ac:dyDescent="0.2">
      <c r="B7" s="10"/>
      <c r="C7" s="44">
        <v>46238</v>
      </c>
      <c r="D7" s="18"/>
      <c r="E7" s="18">
        <v>200</v>
      </c>
      <c r="F7" s="36">
        <f>(F6 + D7) - E7</f>
        <v>750</v>
      </c>
      <c r="G7" s="11"/>
      <c r="H7" s="11"/>
      <c r="I7" s="41">
        <v>2</v>
      </c>
      <c r="J7" s="18">
        <v>600</v>
      </c>
      <c r="K7" s="18"/>
      <c r="L7" s="36">
        <f>(L6 + J7) - K7</f>
        <v>848</v>
      </c>
      <c r="M7" s="11"/>
      <c r="N7" s="11"/>
      <c r="O7" s="11"/>
      <c r="P7" s="12"/>
    </row>
    <row r="8" spans="2:16" x14ac:dyDescent="0.2">
      <c r="B8" s="10"/>
      <c r="C8" s="44">
        <v>46239</v>
      </c>
      <c r="D8" s="18"/>
      <c r="E8" s="18">
        <v>250</v>
      </c>
      <c r="F8" s="36">
        <f t="shared" ref="F8:F20" si="0">(F7 + D8) - E8</f>
        <v>500</v>
      </c>
      <c r="G8" s="11"/>
      <c r="H8" s="11"/>
      <c r="I8" s="41">
        <v>3</v>
      </c>
      <c r="J8" s="18"/>
      <c r="K8" s="18">
        <v>25</v>
      </c>
      <c r="L8" s="36">
        <f t="shared" ref="L8:L19" si="1">(L7 + J8) - K8</f>
        <v>823</v>
      </c>
      <c r="M8" s="11"/>
      <c r="N8" s="11"/>
      <c r="O8" s="11"/>
      <c r="P8" s="12"/>
    </row>
    <row r="9" spans="2:16" x14ac:dyDescent="0.2">
      <c r="B9" s="10"/>
      <c r="C9" s="44">
        <v>46240</v>
      </c>
      <c r="D9" s="18"/>
      <c r="E9" s="18">
        <v>95</v>
      </c>
      <c r="F9" s="36">
        <f t="shared" si="0"/>
        <v>405</v>
      </c>
      <c r="G9" s="11"/>
      <c r="H9" s="11"/>
      <c r="I9" s="41">
        <v>4</v>
      </c>
      <c r="J9" s="18"/>
      <c r="K9" s="18">
        <v>39</v>
      </c>
      <c r="L9" s="36">
        <f t="shared" si="1"/>
        <v>784</v>
      </c>
      <c r="M9" s="11"/>
      <c r="N9" s="11"/>
      <c r="O9" s="11"/>
      <c r="P9" s="12"/>
    </row>
    <row r="10" spans="2:16" x14ac:dyDescent="0.2">
      <c r="B10" s="10"/>
      <c r="C10" s="44">
        <v>46241</v>
      </c>
      <c r="D10" s="18"/>
      <c r="E10" s="37">
        <v>156</v>
      </c>
      <c r="F10" s="36">
        <f t="shared" si="0"/>
        <v>249</v>
      </c>
      <c r="G10" s="11"/>
      <c r="H10" s="11"/>
      <c r="I10" s="41">
        <v>5</v>
      </c>
      <c r="J10" s="18"/>
      <c r="K10" s="18">
        <v>10</v>
      </c>
      <c r="L10" s="36">
        <f t="shared" si="1"/>
        <v>774</v>
      </c>
      <c r="M10" s="11"/>
      <c r="N10" s="11"/>
      <c r="O10" s="11"/>
      <c r="P10" s="12"/>
    </row>
    <row r="11" spans="2:16" x14ac:dyDescent="0.2">
      <c r="B11" s="10"/>
      <c r="C11" s="44">
        <v>46244</v>
      </c>
      <c r="D11" s="18">
        <v>600</v>
      </c>
      <c r="E11" s="37">
        <v>289</v>
      </c>
      <c r="F11" s="36">
        <f t="shared" si="0"/>
        <v>560</v>
      </c>
      <c r="G11" s="11"/>
      <c r="H11" s="11"/>
      <c r="I11" s="41">
        <v>6</v>
      </c>
      <c r="J11" s="18"/>
      <c r="K11" s="18">
        <v>75</v>
      </c>
      <c r="L11" s="36">
        <f t="shared" si="1"/>
        <v>699</v>
      </c>
      <c r="M11" s="11"/>
      <c r="N11" s="11"/>
      <c r="O11" s="11"/>
      <c r="P11" s="12"/>
    </row>
    <row r="12" spans="2:16" x14ac:dyDescent="0.2">
      <c r="B12" s="10"/>
      <c r="C12" s="44">
        <v>46245</v>
      </c>
      <c r="D12" s="18"/>
      <c r="E12" s="37">
        <v>245</v>
      </c>
      <c r="F12" s="36">
        <f t="shared" si="0"/>
        <v>315</v>
      </c>
      <c r="G12" s="11"/>
      <c r="H12" s="11"/>
      <c r="I12" s="41">
        <v>7</v>
      </c>
      <c r="J12" s="18"/>
      <c r="K12" s="18">
        <v>110</v>
      </c>
      <c r="L12" s="36">
        <f t="shared" si="1"/>
        <v>589</v>
      </c>
      <c r="M12" s="11"/>
      <c r="N12" s="11"/>
      <c r="O12" s="11"/>
      <c r="P12" s="12"/>
    </row>
    <row r="13" spans="2:16" x14ac:dyDescent="0.2">
      <c r="B13" s="10"/>
      <c r="C13" s="44">
        <v>46246</v>
      </c>
      <c r="D13" s="18"/>
      <c r="E13" s="37">
        <v>123</v>
      </c>
      <c r="F13" s="36">
        <f t="shared" si="0"/>
        <v>192</v>
      </c>
      <c r="G13" s="11"/>
      <c r="H13" s="11"/>
      <c r="I13" s="41">
        <v>8</v>
      </c>
      <c r="J13" s="18"/>
      <c r="K13" s="18">
        <v>48</v>
      </c>
      <c r="L13" s="36">
        <f t="shared" si="1"/>
        <v>541</v>
      </c>
      <c r="M13" s="11"/>
      <c r="N13" s="11"/>
      <c r="O13" s="11"/>
      <c r="P13" s="12"/>
    </row>
    <row r="14" spans="2:16" x14ac:dyDescent="0.2">
      <c r="B14" s="10"/>
      <c r="C14" s="44">
        <v>46247</v>
      </c>
      <c r="D14" s="18"/>
      <c r="E14" s="37">
        <v>45</v>
      </c>
      <c r="F14" s="36">
        <f t="shared" si="0"/>
        <v>147</v>
      </c>
      <c r="G14" s="11"/>
      <c r="H14" s="11"/>
      <c r="I14" s="41">
        <v>9</v>
      </c>
      <c r="J14" s="18"/>
      <c r="K14" s="18"/>
      <c r="L14" s="36">
        <f t="shared" si="1"/>
        <v>541</v>
      </c>
      <c r="M14" s="11"/>
      <c r="N14" s="11"/>
      <c r="O14" s="11"/>
      <c r="P14" s="12"/>
    </row>
    <row r="15" spans="2:16" x14ac:dyDescent="0.2">
      <c r="B15" s="10"/>
      <c r="C15" s="44">
        <v>46248</v>
      </c>
      <c r="D15" s="18"/>
      <c r="E15" s="37">
        <v>79</v>
      </c>
      <c r="F15" s="36">
        <f t="shared" si="0"/>
        <v>68</v>
      </c>
      <c r="G15" s="11"/>
      <c r="H15" s="11"/>
      <c r="I15" s="41">
        <v>10</v>
      </c>
      <c r="J15" s="18"/>
      <c r="K15" s="18"/>
      <c r="L15" s="36">
        <f t="shared" si="1"/>
        <v>541</v>
      </c>
      <c r="M15" s="11"/>
      <c r="N15" s="11"/>
      <c r="O15" s="11"/>
      <c r="P15" s="12"/>
    </row>
    <row r="16" spans="2:16" x14ac:dyDescent="0.2">
      <c r="B16" s="10"/>
      <c r="C16" s="44">
        <v>46251</v>
      </c>
      <c r="D16" s="18">
        <v>610</v>
      </c>
      <c r="E16" s="37">
        <v>92</v>
      </c>
      <c r="F16" s="36">
        <f t="shared" si="0"/>
        <v>586</v>
      </c>
      <c r="G16" s="11"/>
      <c r="H16" s="11"/>
      <c r="I16" s="41">
        <v>11</v>
      </c>
      <c r="J16" s="18"/>
      <c r="K16" s="18"/>
      <c r="L16" s="36">
        <f t="shared" si="1"/>
        <v>541</v>
      </c>
      <c r="M16" s="11"/>
      <c r="N16" s="11"/>
      <c r="O16" s="11"/>
      <c r="P16" s="12"/>
    </row>
    <row r="17" spans="2:16" x14ac:dyDescent="0.2">
      <c r="B17" s="10"/>
      <c r="C17" s="44">
        <v>46252</v>
      </c>
      <c r="D17" s="18"/>
      <c r="E17" s="37">
        <v>235</v>
      </c>
      <c r="F17" s="36">
        <f t="shared" si="0"/>
        <v>351</v>
      </c>
      <c r="G17" s="11"/>
      <c r="H17" s="11"/>
      <c r="I17" s="41">
        <v>12</v>
      </c>
      <c r="J17" s="18"/>
      <c r="K17" s="18"/>
      <c r="L17" s="36">
        <f t="shared" si="1"/>
        <v>541</v>
      </c>
      <c r="M17" s="11"/>
      <c r="N17" s="11"/>
      <c r="O17" s="11"/>
      <c r="P17" s="12"/>
    </row>
    <row r="18" spans="2:16" x14ac:dyDescent="0.2">
      <c r="B18" s="10"/>
      <c r="C18" s="44">
        <v>46253</v>
      </c>
      <c r="D18" s="18"/>
      <c r="E18" s="37">
        <v>341</v>
      </c>
      <c r="F18" s="36">
        <f t="shared" si="0"/>
        <v>10</v>
      </c>
      <c r="G18" s="11"/>
      <c r="H18" s="11"/>
      <c r="I18" s="41">
        <v>13</v>
      </c>
      <c r="J18" s="18"/>
      <c r="K18" s="18"/>
      <c r="L18" s="36">
        <f t="shared" si="1"/>
        <v>541</v>
      </c>
      <c r="M18" s="11"/>
      <c r="N18" s="11"/>
      <c r="O18" s="11"/>
      <c r="P18" s="12"/>
    </row>
    <row r="19" spans="2:16" x14ac:dyDescent="0.2">
      <c r="B19" s="10"/>
      <c r="C19" s="44">
        <v>46254</v>
      </c>
      <c r="D19" s="18">
        <v>170</v>
      </c>
      <c r="E19" s="37">
        <v>123</v>
      </c>
      <c r="F19" s="36">
        <f t="shared" si="0"/>
        <v>57</v>
      </c>
      <c r="G19" s="11"/>
      <c r="H19" s="11"/>
      <c r="I19" s="46">
        <v>14</v>
      </c>
      <c r="J19" s="18"/>
      <c r="K19" s="18"/>
      <c r="L19" s="36">
        <f t="shared" si="1"/>
        <v>541</v>
      </c>
      <c r="M19" s="11"/>
      <c r="N19" s="11"/>
      <c r="O19" s="11"/>
      <c r="P19" s="12"/>
    </row>
    <row r="20" spans="2:16" ht="15.75" x14ac:dyDescent="0.25">
      <c r="B20" s="10"/>
      <c r="C20" s="45">
        <v>46255</v>
      </c>
      <c r="D20" s="38"/>
      <c r="E20" s="38">
        <v>50</v>
      </c>
      <c r="F20" s="39">
        <f t="shared" si="0"/>
        <v>7</v>
      </c>
      <c r="G20" s="11"/>
      <c r="H20" s="11"/>
      <c r="I20" s="30" t="s">
        <v>6</v>
      </c>
      <c r="J20" s="26">
        <f>SUBTOTAL(9,J6:J19)</f>
        <v>848</v>
      </c>
      <c r="K20" s="26">
        <f>SUBTOTAL(9,K6:K19)</f>
        <v>307</v>
      </c>
      <c r="L20" s="33">
        <f>L19</f>
        <v>541</v>
      </c>
      <c r="M20" s="11"/>
      <c r="N20" s="11"/>
      <c r="O20" s="11"/>
      <c r="P20" s="12"/>
    </row>
    <row r="21" spans="2:16" x14ac:dyDescent="0.2">
      <c r="B21" s="13"/>
      <c r="C21" s="4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mergeCells count="1">
    <mergeCell ref="C4:E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91CB-63AE-4BDF-9F6E-154CE45A314C}">
  <dimension ref="B1:P23"/>
  <sheetViews>
    <sheetView showGridLines="0" tabSelected="1" topLeftCell="A2" workbookViewId="0">
      <selection activeCell="A2" sqref="A2"/>
    </sheetView>
  </sheetViews>
  <sheetFormatPr defaultColWidth="0" defaultRowHeight="15" customHeight="1" zeroHeight="1" x14ac:dyDescent="0.2"/>
  <cols>
    <col min="1" max="1" width="3.77734375" customWidth="1"/>
    <col min="2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ht="15.75" x14ac:dyDescent="0.25">
      <c r="B4" s="10"/>
      <c r="C4" s="19" t="s">
        <v>7</v>
      </c>
      <c r="D4" s="20"/>
      <c r="E4" s="20"/>
      <c r="F4" s="31"/>
      <c r="G4" s="31"/>
      <c r="H4" s="31"/>
      <c r="I4" s="31"/>
      <c r="J4" s="47">
        <v>2026</v>
      </c>
      <c r="K4" s="11"/>
      <c r="L4" s="53">
        <v>2026</v>
      </c>
      <c r="M4" s="54"/>
      <c r="N4" s="67"/>
      <c r="O4" s="11"/>
      <c r="P4" s="12"/>
    </row>
    <row r="5" spans="2:16" x14ac:dyDescent="0.2">
      <c r="B5" s="10"/>
      <c r="C5" s="48" t="s">
        <v>10</v>
      </c>
      <c r="D5" s="49"/>
      <c r="E5" s="50" t="s">
        <v>0</v>
      </c>
      <c r="F5" s="51" t="s">
        <v>11</v>
      </c>
      <c r="G5" s="51" t="s">
        <v>12</v>
      </c>
      <c r="H5" s="51" t="s">
        <v>13</v>
      </c>
      <c r="I5" s="51" t="s">
        <v>14</v>
      </c>
      <c r="J5" s="52" t="s">
        <v>15</v>
      </c>
      <c r="K5" s="11"/>
      <c r="L5" s="55" t="s">
        <v>28</v>
      </c>
      <c r="M5" s="56"/>
      <c r="N5" s="68"/>
      <c r="O5" s="11"/>
      <c r="P5" s="12"/>
    </row>
    <row r="6" spans="2:16" x14ac:dyDescent="0.2">
      <c r="B6" s="10"/>
      <c r="C6" s="57" t="s">
        <v>16</v>
      </c>
      <c r="D6" s="58"/>
      <c r="E6" s="62">
        <v>187</v>
      </c>
      <c r="F6" s="62">
        <v>261</v>
      </c>
      <c r="G6" s="62">
        <v>396</v>
      </c>
      <c r="H6" s="62">
        <v>727</v>
      </c>
      <c r="I6" s="62">
        <v>602</v>
      </c>
      <c r="J6" s="64">
        <v>893</v>
      </c>
      <c r="K6" s="11"/>
      <c r="L6" s="69"/>
      <c r="M6" s="69"/>
      <c r="N6" s="69"/>
      <c r="O6" s="11"/>
      <c r="P6" s="12"/>
    </row>
    <row r="7" spans="2:16" x14ac:dyDescent="0.2">
      <c r="B7" s="10"/>
      <c r="C7" s="59" t="s">
        <v>17</v>
      </c>
      <c r="D7" s="17"/>
      <c r="E7" s="16">
        <v>998</v>
      </c>
      <c r="F7" s="16">
        <v>51</v>
      </c>
      <c r="G7" s="16">
        <v>379</v>
      </c>
      <c r="H7" s="16">
        <v>81</v>
      </c>
      <c r="I7" s="16">
        <v>552</v>
      </c>
      <c r="J7" s="65">
        <v>89</v>
      </c>
      <c r="K7" s="11"/>
      <c r="L7" s="70"/>
      <c r="M7" s="70"/>
      <c r="N7" s="70"/>
      <c r="O7" s="11"/>
      <c r="P7" s="12"/>
    </row>
    <row r="8" spans="2:16" x14ac:dyDescent="0.2">
      <c r="B8" s="10"/>
      <c r="C8" s="59" t="s">
        <v>18</v>
      </c>
      <c r="D8" s="17"/>
      <c r="E8" s="16">
        <v>584</v>
      </c>
      <c r="F8" s="16">
        <v>658</v>
      </c>
      <c r="G8" s="16">
        <v>641</v>
      </c>
      <c r="H8" s="16">
        <v>610</v>
      </c>
      <c r="I8" s="16">
        <v>120</v>
      </c>
      <c r="J8" s="65">
        <v>401</v>
      </c>
      <c r="K8" s="11"/>
      <c r="L8" s="70"/>
      <c r="M8" s="70"/>
      <c r="N8" s="70"/>
      <c r="O8" s="11"/>
      <c r="P8" s="12"/>
    </row>
    <row r="9" spans="2:16" x14ac:dyDescent="0.2">
      <c r="B9" s="10"/>
      <c r="C9" s="59" t="s">
        <v>19</v>
      </c>
      <c r="D9" s="17"/>
      <c r="E9" s="16">
        <v>917</v>
      </c>
      <c r="F9" s="16">
        <v>63</v>
      </c>
      <c r="G9" s="16">
        <v>139</v>
      </c>
      <c r="H9" s="16">
        <v>82</v>
      </c>
      <c r="I9" s="16">
        <v>247</v>
      </c>
      <c r="J9" s="65">
        <v>524</v>
      </c>
      <c r="K9" s="11"/>
      <c r="L9" s="70"/>
      <c r="M9" s="70"/>
      <c r="N9" s="70"/>
      <c r="O9" s="11"/>
      <c r="P9" s="12"/>
    </row>
    <row r="10" spans="2:16" x14ac:dyDescent="0.2">
      <c r="B10" s="10"/>
      <c r="C10" s="59" t="s">
        <v>20</v>
      </c>
      <c r="D10" s="17"/>
      <c r="E10" s="16">
        <v>155</v>
      </c>
      <c r="F10" s="16">
        <v>171</v>
      </c>
      <c r="G10" s="16">
        <v>63</v>
      </c>
      <c r="H10" s="16">
        <v>980</v>
      </c>
      <c r="I10" s="16">
        <v>351</v>
      </c>
      <c r="J10" s="65">
        <v>85</v>
      </c>
      <c r="K10" s="11"/>
      <c r="L10" s="70"/>
      <c r="M10" s="70"/>
      <c r="N10" s="70"/>
      <c r="O10" s="11"/>
      <c r="P10" s="12"/>
    </row>
    <row r="11" spans="2:16" x14ac:dyDescent="0.2">
      <c r="B11" s="10"/>
      <c r="C11" s="59" t="s">
        <v>21</v>
      </c>
      <c r="D11" s="17"/>
      <c r="E11" s="16">
        <v>452</v>
      </c>
      <c r="F11" s="16">
        <v>471</v>
      </c>
      <c r="G11" s="16">
        <v>915</v>
      </c>
      <c r="H11" s="16">
        <v>462</v>
      </c>
      <c r="I11" s="16">
        <v>950</v>
      </c>
      <c r="J11" s="65">
        <v>775</v>
      </c>
      <c r="K11" s="11"/>
      <c r="L11" s="70"/>
      <c r="M11" s="70"/>
      <c r="N11" s="70"/>
      <c r="O11" s="11"/>
      <c r="P11" s="12"/>
    </row>
    <row r="12" spans="2:16" x14ac:dyDescent="0.2">
      <c r="B12" s="10"/>
      <c r="C12" s="59" t="s">
        <v>22</v>
      </c>
      <c r="D12" s="17"/>
      <c r="E12" s="16">
        <v>52</v>
      </c>
      <c r="F12" s="16">
        <v>708</v>
      </c>
      <c r="G12" s="16">
        <v>363</v>
      </c>
      <c r="H12" s="16">
        <v>717</v>
      </c>
      <c r="I12" s="16">
        <v>824</v>
      </c>
      <c r="J12" s="65">
        <v>904</v>
      </c>
      <c r="K12" s="11"/>
      <c r="L12" s="70"/>
      <c r="M12" s="70"/>
      <c r="N12" s="70"/>
      <c r="O12" s="11"/>
      <c r="P12" s="12"/>
    </row>
    <row r="13" spans="2:16" x14ac:dyDescent="0.2">
      <c r="B13" s="10"/>
      <c r="C13" s="59" t="s">
        <v>23</v>
      </c>
      <c r="D13" s="17"/>
      <c r="E13" s="16">
        <v>975</v>
      </c>
      <c r="F13" s="16">
        <v>250</v>
      </c>
      <c r="G13" s="16">
        <v>143</v>
      </c>
      <c r="H13" s="16">
        <v>303</v>
      </c>
      <c r="I13" s="16">
        <v>847</v>
      </c>
      <c r="J13" s="65">
        <v>292</v>
      </c>
      <c r="K13" s="11"/>
      <c r="L13" s="70"/>
      <c r="M13" s="70"/>
      <c r="N13" s="70"/>
      <c r="O13" s="11"/>
      <c r="P13" s="12"/>
    </row>
    <row r="14" spans="2:16" x14ac:dyDescent="0.2">
      <c r="B14" s="10"/>
      <c r="C14" s="59" t="s">
        <v>24</v>
      </c>
      <c r="D14" s="17"/>
      <c r="E14" s="16">
        <v>705</v>
      </c>
      <c r="F14" s="16">
        <v>854</v>
      </c>
      <c r="G14" s="16">
        <v>786</v>
      </c>
      <c r="H14" s="16">
        <v>65</v>
      </c>
      <c r="I14" s="16">
        <v>416</v>
      </c>
      <c r="J14" s="65">
        <v>574</v>
      </c>
      <c r="K14" s="11"/>
      <c r="L14" s="70"/>
      <c r="M14" s="70"/>
      <c r="N14" s="70"/>
      <c r="O14" s="11"/>
      <c r="P14" s="12"/>
    </row>
    <row r="15" spans="2:16" x14ac:dyDescent="0.2">
      <c r="B15" s="10"/>
      <c r="C15" s="59" t="s">
        <v>25</v>
      </c>
      <c r="D15" s="17"/>
      <c r="E15" s="16">
        <v>369</v>
      </c>
      <c r="F15" s="16">
        <v>656</v>
      </c>
      <c r="G15" s="16">
        <v>582</v>
      </c>
      <c r="H15" s="16">
        <v>628</v>
      </c>
      <c r="I15" s="16">
        <v>741</v>
      </c>
      <c r="J15" s="65">
        <v>246</v>
      </c>
      <c r="K15" s="11"/>
      <c r="L15" s="70"/>
      <c r="M15" s="70"/>
      <c r="N15" s="70"/>
      <c r="O15" s="11"/>
      <c r="P15" s="12"/>
    </row>
    <row r="16" spans="2:16" x14ac:dyDescent="0.2">
      <c r="B16" s="10"/>
      <c r="C16" s="59" t="s">
        <v>26</v>
      </c>
      <c r="D16" s="17"/>
      <c r="E16" s="16">
        <v>84</v>
      </c>
      <c r="F16" s="16">
        <v>199</v>
      </c>
      <c r="G16" s="16">
        <v>214</v>
      </c>
      <c r="H16" s="16">
        <v>20</v>
      </c>
      <c r="I16" s="16">
        <v>340</v>
      </c>
      <c r="J16" s="65">
        <v>772</v>
      </c>
      <c r="K16" s="11"/>
      <c r="L16" s="70"/>
      <c r="M16" s="70"/>
      <c r="N16" s="70"/>
      <c r="O16" s="11"/>
      <c r="P16" s="12"/>
    </row>
    <row r="17" spans="2:16" x14ac:dyDescent="0.2">
      <c r="B17" s="10"/>
      <c r="C17" s="60" t="s">
        <v>27</v>
      </c>
      <c r="D17" s="61"/>
      <c r="E17" s="63">
        <v>982</v>
      </c>
      <c r="F17" s="63">
        <v>409</v>
      </c>
      <c r="G17" s="63">
        <v>97</v>
      </c>
      <c r="H17" s="63">
        <v>355</v>
      </c>
      <c r="I17" s="63">
        <v>589</v>
      </c>
      <c r="J17" s="66">
        <v>607</v>
      </c>
      <c r="K17" s="11"/>
      <c r="L17" s="71"/>
      <c r="M17" s="71"/>
      <c r="N17" s="71"/>
      <c r="O17" s="11"/>
      <c r="P17" s="12"/>
    </row>
    <row r="18" spans="2:16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2:16" ht="15.75" x14ac:dyDescent="0.2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25" t="s">
        <v>29</v>
      </c>
      <c r="M19" s="31"/>
      <c r="N19" s="32"/>
      <c r="O19" s="11"/>
      <c r="P19" s="12"/>
    </row>
    <row r="20" spans="2:16" x14ac:dyDescent="0.2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72" t="s">
        <v>30</v>
      </c>
      <c r="M20" s="73" t="s">
        <v>31</v>
      </c>
      <c r="N20" s="72" t="s">
        <v>32</v>
      </c>
      <c r="O20" s="11"/>
      <c r="P20" s="12"/>
    </row>
    <row r="21" spans="2:16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mergeCells count="16">
    <mergeCell ref="C13:D13"/>
    <mergeCell ref="C14:D14"/>
    <mergeCell ref="C15:D15"/>
    <mergeCell ref="C16:D16"/>
    <mergeCell ref="C17:D17"/>
    <mergeCell ref="L4:N4"/>
    <mergeCell ref="L5:N5"/>
    <mergeCell ref="C4:E4"/>
    <mergeCell ref="C5:D5"/>
    <mergeCell ref="C6:D6"/>
    <mergeCell ref="C7:D7"/>
    <mergeCell ref="C8:D8"/>
    <mergeCell ref="C9:D9"/>
    <mergeCell ref="C10:D10"/>
    <mergeCell ref="C11:D11"/>
    <mergeCell ref="C12:D12"/>
  </mergeCells>
  <phoneticPr fontId="3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Menu</vt:lpstr>
      <vt:lpstr>Lançamentos</vt:lpstr>
      <vt:lpstr>Relatórios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2026-08-28T15:30:55Z</dcterms:created>
  <dcterms:modified xsi:type="dcterms:W3CDTF">2026-08-28T17:45:36Z</dcterms:modified>
</cp:coreProperties>
</file>