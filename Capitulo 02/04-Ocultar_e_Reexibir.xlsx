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ec9e416e155c767/Área de Trabalho/Udemy - Excel Completo/Capitulo 02/Projetos/"/>
    </mc:Choice>
  </mc:AlternateContent>
  <xr:revisionPtr revIDLastSave="189" documentId="8_{ECDF40A4-DC4D-4702-AD81-72048AA7AAB7}" xr6:coauthVersionLast="47" xr6:coauthVersionMax="47" xr10:uidLastSave="{8DA21695-466A-47FA-B462-BD3781A57430}"/>
  <bookViews>
    <workbookView xWindow="-120" yWindow="-120" windowWidth="20730" windowHeight="11760" xr2:uid="{9D179342-8F97-412C-82B1-58EBF7BDC5B5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3" i="1" l="1"/>
  <c r="G3" i="1" s="1"/>
  <c r="G5" i="1" s="1"/>
  <c r="I6" i="1"/>
  <c r="I7" i="1"/>
  <c r="I8" i="1"/>
  <c r="I9" i="1"/>
  <c r="I10" i="1"/>
  <c r="I5" i="1"/>
  <c r="H6" i="1"/>
  <c r="H7" i="1"/>
  <c r="H8" i="1"/>
  <c r="H9" i="1"/>
  <c r="H10" i="1"/>
  <c r="H5" i="1"/>
  <c r="G10" i="1" l="1"/>
  <c r="F10" i="1" s="1"/>
  <c r="G9" i="1"/>
  <c r="G8" i="1"/>
  <c r="F8" i="1" s="1"/>
  <c r="G7" i="1"/>
  <c r="G6" i="1"/>
  <c r="F6" i="1" s="1"/>
  <c r="F5" i="1" l="1"/>
  <c r="F9" i="1" l="1"/>
  <c r="F7" i="1"/>
</calcChain>
</file>

<file path=xl/sharedStrings.xml><?xml version="1.0" encoding="utf-8"?>
<sst xmlns="http://schemas.openxmlformats.org/spreadsheetml/2006/main" count="19" uniqueCount="19">
  <si>
    <t>PROGRAMA 'PONTUA CLIENTE'</t>
  </si>
  <si>
    <t>NOME</t>
  </si>
  <si>
    <t>CLIENTE 
DESDE</t>
  </si>
  <si>
    <t>MÉDIA MENSAL 
DE COMPRAS (R$)</t>
  </si>
  <si>
    <t>INADIMPLÊNCIA 
MÉDIA (dias)</t>
  </si>
  <si>
    <t>PONTOS</t>
  </si>
  <si>
    <t>PONTOS POR
TEMPO</t>
  </si>
  <si>
    <t>PONTOS POR 
COMPRA</t>
  </si>
  <si>
    <t>PONTOS POR 
INADIMPLÊNCIA</t>
  </si>
  <si>
    <t>Axl Rose</t>
  </si>
  <si>
    <t>Michael Kiskie</t>
  </si>
  <si>
    <t>Bruce Dickinson</t>
  </si>
  <si>
    <t>Floor Johanson</t>
  </si>
  <si>
    <t>Tarja Turunen</t>
  </si>
  <si>
    <t>Emy Lee</t>
  </si>
  <si>
    <t>INSTRUÇÕES DE CÁLCULO</t>
  </si>
  <si>
    <t>Pontos por Compra = (média mensal de compras) / 15</t>
  </si>
  <si>
    <t>Pontos por Inadimplência = (inadimplência Média * 1,2)</t>
  </si>
  <si>
    <t>Pontos por Tempo =  (ano atual - cliente desde) *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</si>
</sst>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6" formatCode="&quot;Ano &quot;0"/>
  </numFmts>
  <fonts count="8" x14ac:knownFonts="1">
    <font>
      <sz val="12"/>
      <color theme="1"/>
      <name val="Arial"/>
      <family val="2"/>
    </font>
    <font>
      <sz val="12"/>
      <color theme="1"/>
      <name val="Aptos"/>
      <family val="2"/>
    </font>
    <font>
      <sz val="10"/>
      <color theme="1"/>
      <name val="Aptos"/>
      <family val="2"/>
    </font>
    <font>
      <sz val="10"/>
      <color rgb="FFFFFFFF"/>
      <name val="Aptos"/>
      <family val="2"/>
    </font>
    <font>
      <b/>
      <sz val="10"/>
      <color rgb="FFFFFFFF"/>
      <name val="Aptos"/>
      <family val="2"/>
    </font>
    <font>
      <b/>
      <sz val="18"/>
      <color rgb="FFFFFFFF"/>
      <name val="Aptos"/>
      <family val="2"/>
    </font>
    <font>
      <b/>
      <sz val="11"/>
      <color rgb="FF1F1F1F"/>
      <name val="Aptos"/>
      <family val="2"/>
    </font>
    <font>
      <sz val="12"/>
      <color rgb="FF404040"/>
      <name val="Aptos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7F9FC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/>
        <bgColor indexed="64"/>
      </patternFill>
    </fill>
  </fills>
  <borders count="8">
    <border>
      <left/>
      <right/>
      <top/>
      <bottom/>
      <diagonal/>
    </border>
    <border>
      <left style="thin">
        <color rgb="FFD9E2F3"/>
      </left>
      <right style="thin">
        <color rgb="FFE7E6E6"/>
      </right>
      <top style="thin">
        <color rgb="FFD9E2F3"/>
      </top>
      <bottom style="thin">
        <color rgb="FFD9E2F3"/>
      </bottom>
      <diagonal/>
    </border>
    <border>
      <left style="thin">
        <color rgb="FFE7E6E6"/>
      </left>
      <right style="thin">
        <color rgb="FFE7E6E6"/>
      </right>
      <top style="thin">
        <color rgb="FFD9E2F3"/>
      </top>
      <bottom style="thin">
        <color rgb="FFD9E2F3"/>
      </bottom>
      <diagonal/>
    </border>
    <border>
      <left style="thin">
        <color rgb="FFE7E6E6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2" fillId="0" borderId="0" xfId="0" applyFont="1" applyAlignment="1">
      <alignment vertical="center"/>
    </xf>
    <xf numFmtId="0" fontId="1" fillId="2" borderId="1" xfId="0" applyFont="1" applyFill="1" applyBorder="1" applyAlignment="1">
      <alignment horizontal="left" vertical="center"/>
    </xf>
    <xf numFmtId="14" fontId="1" fillId="2" borderId="2" xfId="0" applyNumberFormat="1" applyFont="1" applyFill="1" applyBorder="1" applyAlignment="1">
      <alignment horizontal="center" vertical="center"/>
    </xf>
    <xf numFmtId="1" fontId="1" fillId="2" borderId="2" xfId="0" applyNumberFormat="1" applyFont="1" applyFill="1" applyBorder="1" applyAlignment="1">
      <alignment horizontal="right" vertical="center"/>
    </xf>
    <xf numFmtId="2" fontId="1" fillId="2" borderId="2" xfId="0" applyNumberFormat="1" applyFont="1" applyFill="1" applyBorder="1" applyAlignment="1">
      <alignment horizontal="right" vertical="center"/>
    </xf>
    <xf numFmtId="2" fontId="1" fillId="2" borderId="3" xfId="0" applyNumberFormat="1" applyFont="1" applyFill="1" applyBorder="1" applyAlignment="1">
      <alignment horizontal="right" vertical="center"/>
    </xf>
    <xf numFmtId="0" fontId="0" fillId="0" borderId="0" xfId="0" applyFont="1" applyAlignment="1">
      <alignment vertical="center"/>
    </xf>
    <xf numFmtId="0" fontId="1" fillId="3" borderId="1" xfId="0" applyFont="1" applyFill="1" applyBorder="1" applyAlignment="1">
      <alignment horizontal="left" vertical="center"/>
    </xf>
    <xf numFmtId="14" fontId="1" fillId="3" borderId="2" xfId="0" applyNumberFormat="1" applyFont="1" applyFill="1" applyBorder="1" applyAlignment="1">
      <alignment horizontal="center" vertical="center"/>
    </xf>
    <xf numFmtId="1" fontId="1" fillId="3" borderId="2" xfId="0" applyNumberFormat="1" applyFont="1" applyFill="1" applyBorder="1" applyAlignment="1">
      <alignment horizontal="right" vertical="center"/>
    </xf>
    <xf numFmtId="2" fontId="1" fillId="3" borderId="2" xfId="0" applyNumberFormat="1" applyFont="1" applyFill="1" applyBorder="1" applyAlignment="1">
      <alignment horizontal="right" vertical="center"/>
    </xf>
    <xf numFmtId="2" fontId="1" fillId="3" borderId="3" xfId="0" applyNumberFormat="1" applyFont="1" applyFill="1" applyBorder="1" applyAlignment="1">
      <alignment horizontal="right" vertical="center"/>
    </xf>
    <xf numFmtId="0" fontId="0" fillId="0" borderId="0" xfId="0" applyFont="1"/>
    <xf numFmtId="0" fontId="7" fillId="3" borderId="6" xfId="0" applyFont="1" applyFill="1" applyBorder="1" applyAlignment="1">
      <alignment horizontal="center" vertical="center" wrapText="1"/>
    </xf>
    <xf numFmtId="0" fontId="7" fillId="3" borderId="7" xfId="0" applyFont="1" applyFill="1" applyBorder="1" applyAlignment="1">
      <alignment horizontal="center" vertical="center" wrapText="1"/>
    </xf>
    <xf numFmtId="0" fontId="6" fillId="0" borderId="0" xfId="0" applyFont="1" applyFill="1" applyBorder="1" applyAlignment="1">
      <alignment horizontal="left" vertical="center"/>
    </xf>
    <xf numFmtId="0" fontId="7" fillId="0" borderId="0" xfId="0" applyFont="1" applyFill="1" applyBorder="1" applyAlignment="1">
      <alignment horizontal="left" vertical="center" wrapText="1"/>
    </xf>
    <xf numFmtId="0" fontId="5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166" fontId="3" fillId="4" borderId="0" xfId="0" applyNumberFormat="1" applyFont="1" applyFill="1" applyAlignment="1">
      <alignment horizontal="center" vertical="center"/>
    </xf>
    <xf numFmtId="0" fontId="3" fillId="4" borderId="0" xfId="0" applyFont="1" applyFill="1" applyAlignment="1">
      <alignment vertical="center"/>
    </xf>
    <xf numFmtId="0" fontId="4" fillId="5" borderId="0" xfId="0" applyFont="1" applyFill="1" applyAlignment="1">
      <alignment horizontal="center" vertical="center" wrapText="1"/>
    </xf>
    <xf numFmtId="44" fontId="1" fillId="2" borderId="2" xfId="0" applyNumberFormat="1" applyFont="1" applyFill="1" applyBorder="1" applyAlignment="1">
      <alignment horizontal="right" vertical="center"/>
    </xf>
    <xf numFmtId="44" fontId="1" fillId="3" borderId="2" xfId="0" applyNumberFormat="1" applyFont="1" applyFill="1" applyBorder="1" applyAlignment="1">
      <alignment horizontal="right" vertical="center"/>
    </xf>
    <xf numFmtId="0" fontId="6" fillId="5" borderId="4" xfId="0" applyFont="1" applyFill="1" applyBorder="1" applyAlignment="1">
      <alignment horizontal="center" vertical="center"/>
    </xf>
    <xf numFmtId="0" fontId="6" fillId="5" borderId="5" xfId="0" applyFont="1" applyFill="1" applyBorder="1" applyAlignment="1">
      <alignment horizontal="center" vertical="center"/>
    </xf>
    <xf numFmtId="14" fontId="4" fillId="4" borderId="0" xfId="0" applyNumberFormat="1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F0F41B-FFB1-49FC-8A2A-F5C8E73CE02A}">
  <dimension ref="B1:I17"/>
  <sheetViews>
    <sheetView tabSelected="1" workbookViewId="0"/>
  </sheetViews>
  <sheetFormatPr defaultColWidth="0" defaultRowHeight="15" zeroHeight="1" x14ac:dyDescent="0.2"/>
  <cols>
    <col min="1" max="1" width="3.77734375" customWidth="1"/>
    <col min="2" max="2" width="17.77734375" customWidth="1"/>
    <col min="3" max="3" width="12.109375" customWidth="1"/>
    <col min="4" max="4" width="17.77734375" customWidth="1"/>
    <col min="5" max="5" width="15.5546875" customWidth="1"/>
    <col min="6" max="6" width="10.33203125" customWidth="1"/>
    <col min="7" max="7" width="12.109375" hidden="1" customWidth="1"/>
    <col min="8" max="8" width="13" hidden="1" customWidth="1"/>
    <col min="9" max="9" width="15.5546875" hidden="1" customWidth="1"/>
    <col min="10" max="10" width="8.88671875" customWidth="1"/>
    <col min="11" max="16384" width="8.88671875" hidden="1"/>
  </cols>
  <sheetData>
    <row r="1" spans="2:9" x14ac:dyDescent="0.2"/>
    <row r="2" spans="2:9" x14ac:dyDescent="0.2"/>
    <row r="3" spans="2:9" ht="32.1" customHeight="1" x14ac:dyDescent="0.2">
      <c r="B3" s="18" t="s">
        <v>0</v>
      </c>
      <c r="C3" s="19"/>
      <c r="D3" s="19"/>
      <c r="E3" s="19"/>
      <c r="F3" s="27">
        <f ca="1">TODAY()</f>
        <v>46258</v>
      </c>
      <c r="G3" s="20">
        <f ca="1">YEAR(F3)</f>
        <v>2026</v>
      </c>
      <c r="H3" s="21"/>
      <c r="I3" s="21"/>
    </row>
    <row r="4" spans="2:9" ht="33.950000000000003" customHeight="1" x14ac:dyDescent="0.2">
      <c r="B4" s="22" t="s">
        <v>1</v>
      </c>
      <c r="C4" s="22" t="s">
        <v>2</v>
      </c>
      <c r="D4" s="22" t="s">
        <v>3</v>
      </c>
      <c r="E4" s="22" t="s">
        <v>4</v>
      </c>
      <c r="F4" s="22" t="s">
        <v>5</v>
      </c>
      <c r="G4" s="22" t="s">
        <v>6</v>
      </c>
      <c r="H4" s="22" t="s">
        <v>7</v>
      </c>
      <c r="I4" s="22" t="s">
        <v>8</v>
      </c>
    </row>
    <row r="5" spans="2:9" s="7" customFormat="1" ht="15.75" x14ac:dyDescent="0.2">
      <c r="B5" s="2" t="s">
        <v>13</v>
      </c>
      <c r="C5" s="3">
        <v>40212</v>
      </c>
      <c r="D5" s="23">
        <v>1213</v>
      </c>
      <c r="E5" s="4">
        <v>14</v>
      </c>
      <c r="F5" s="5">
        <f ca="1">(G5 + H5) - I5</f>
        <v>112.06666666666668</v>
      </c>
      <c r="G5" s="5">
        <f ca="1">($G$3 - YEAR(C5)) * 3</f>
        <v>48</v>
      </c>
      <c r="H5" s="5">
        <f>(D5 / 15)</f>
        <v>80.86666666666666</v>
      </c>
      <c r="I5" s="6">
        <f>(E5 * 1.2)</f>
        <v>16.8</v>
      </c>
    </row>
    <row r="6" spans="2:9" s="7" customFormat="1" ht="15.75" x14ac:dyDescent="0.2">
      <c r="B6" s="8" t="s">
        <v>9</v>
      </c>
      <c r="C6" s="9">
        <v>41129</v>
      </c>
      <c r="D6" s="24">
        <v>987.48</v>
      </c>
      <c r="E6" s="10">
        <v>3</v>
      </c>
      <c r="F6" s="11">
        <f t="shared" ref="F6:F10" ca="1" si="0">(G6 + H6) - I6</f>
        <v>104.23200000000001</v>
      </c>
      <c r="G6" s="5">
        <f t="shared" ref="G6:G10" ca="1" si="1">($G$3 - YEAR(C6)) * 3</f>
        <v>42</v>
      </c>
      <c r="H6" s="11">
        <f t="shared" ref="H6:H10" si="2">(D6 / 15)</f>
        <v>65.832000000000008</v>
      </c>
      <c r="I6" s="12">
        <f t="shared" ref="I6:I10" si="3">(E6 * 1.2)</f>
        <v>3.5999999999999996</v>
      </c>
    </row>
    <row r="7" spans="2:9" s="7" customFormat="1" ht="15.75" x14ac:dyDescent="0.2">
      <c r="B7" s="2" t="s">
        <v>10</v>
      </c>
      <c r="C7" s="3">
        <v>42807</v>
      </c>
      <c r="D7" s="23">
        <v>35.81</v>
      </c>
      <c r="E7" s="4">
        <v>9</v>
      </c>
      <c r="F7" s="5">
        <f t="shared" ca="1" si="0"/>
        <v>18.587333333333333</v>
      </c>
      <c r="G7" s="5">
        <f t="shared" ca="1" si="1"/>
        <v>27</v>
      </c>
      <c r="H7" s="5">
        <f t="shared" si="2"/>
        <v>2.3873333333333333</v>
      </c>
      <c r="I7" s="6">
        <f t="shared" si="3"/>
        <v>10.799999999999999</v>
      </c>
    </row>
    <row r="8" spans="2:9" s="7" customFormat="1" ht="15.75" x14ac:dyDescent="0.2">
      <c r="B8" s="8" t="s">
        <v>11</v>
      </c>
      <c r="C8" s="9">
        <v>43093</v>
      </c>
      <c r="D8" s="24">
        <v>4091.56</v>
      </c>
      <c r="E8" s="10">
        <v>21</v>
      </c>
      <c r="F8" s="11">
        <f t="shared" ca="1" si="0"/>
        <v>274.57066666666668</v>
      </c>
      <c r="G8" s="5">
        <f t="shared" ca="1" si="1"/>
        <v>27</v>
      </c>
      <c r="H8" s="11">
        <f t="shared" si="2"/>
        <v>272.77066666666667</v>
      </c>
      <c r="I8" s="12">
        <f t="shared" si="3"/>
        <v>25.2</v>
      </c>
    </row>
    <row r="9" spans="2:9" s="7" customFormat="1" ht="15.75" x14ac:dyDescent="0.2">
      <c r="B9" s="2" t="s">
        <v>12</v>
      </c>
      <c r="C9" s="3">
        <v>44563</v>
      </c>
      <c r="D9" s="23">
        <v>300</v>
      </c>
      <c r="E9" s="4">
        <v>7</v>
      </c>
      <c r="F9" s="5">
        <f t="shared" ca="1" si="0"/>
        <v>23.6</v>
      </c>
      <c r="G9" s="5">
        <f t="shared" ca="1" si="1"/>
        <v>12</v>
      </c>
      <c r="H9" s="5">
        <f t="shared" si="2"/>
        <v>20</v>
      </c>
      <c r="I9" s="6">
        <f t="shared" si="3"/>
        <v>8.4</v>
      </c>
    </row>
    <row r="10" spans="2:9" s="7" customFormat="1" ht="15.75" x14ac:dyDescent="0.2">
      <c r="B10" s="8" t="s">
        <v>14</v>
      </c>
      <c r="C10" s="9">
        <v>46258</v>
      </c>
      <c r="D10" s="24">
        <v>2199.37</v>
      </c>
      <c r="E10" s="10">
        <v>7</v>
      </c>
      <c r="F10" s="11">
        <f t="shared" ca="1" si="0"/>
        <v>138.22466666666665</v>
      </c>
      <c r="G10" s="5">
        <f t="shared" ca="1" si="1"/>
        <v>0</v>
      </c>
      <c r="H10" s="11">
        <f t="shared" si="2"/>
        <v>146.62466666666666</v>
      </c>
      <c r="I10" s="12">
        <f t="shared" si="3"/>
        <v>8.4</v>
      </c>
    </row>
    <row r="11" spans="2:9" x14ac:dyDescent="0.2">
      <c r="B11" s="1"/>
      <c r="C11" s="1"/>
      <c r="D11" s="1"/>
      <c r="E11" s="1"/>
      <c r="F11" s="1"/>
      <c r="G11" s="1"/>
      <c r="H11" s="1"/>
      <c r="I11" s="1"/>
    </row>
    <row r="12" spans="2:9" ht="15.75" hidden="1" thickBot="1" x14ac:dyDescent="0.25">
      <c r="B12" s="1"/>
      <c r="C12" s="1"/>
      <c r="D12" s="1"/>
      <c r="E12" s="1"/>
      <c r="F12" s="1"/>
      <c r="G12" s="1"/>
      <c r="H12" s="1"/>
      <c r="I12" s="1"/>
    </row>
    <row r="13" spans="2:9" ht="21.95" hidden="1" customHeight="1" thickTop="1" x14ac:dyDescent="0.2">
      <c r="B13" s="25" t="s">
        <v>15</v>
      </c>
      <c r="C13" s="26"/>
      <c r="D13" s="16"/>
      <c r="E13" s="16"/>
      <c r="F13" s="16"/>
      <c r="G13" s="16"/>
      <c r="H13" s="16"/>
      <c r="I13" s="16"/>
    </row>
    <row r="14" spans="2:9" s="13" customFormat="1" ht="47.25" hidden="1" customHeight="1" x14ac:dyDescent="0.2">
      <c r="B14" s="14" t="s">
        <v>18</v>
      </c>
      <c r="C14" s="15"/>
      <c r="D14" s="17"/>
      <c r="E14" s="17"/>
      <c r="F14" s="17"/>
      <c r="G14" s="17"/>
      <c r="H14" s="17"/>
      <c r="I14" s="17"/>
    </row>
    <row r="15" spans="2:9" s="13" customFormat="1" ht="47.25" hidden="1" customHeight="1" x14ac:dyDescent="0.2">
      <c r="B15" s="14" t="s">
        <v>16</v>
      </c>
      <c r="C15" s="15"/>
      <c r="D15" s="17"/>
      <c r="E15" s="17"/>
      <c r="F15" s="17"/>
      <c r="G15" s="17"/>
      <c r="H15" s="17"/>
      <c r="I15" s="17"/>
    </row>
    <row r="16" spans="2:9" s="13" customFormat="1" ht="63" hidden="1" customHeight="1" x14ac:dyDescent="0.2">
      <c r="B16" s="14" t="s">
        <v>17</v>
      </c>
      <c r="C16" s="15"/>
      <c r="D16" s="17"/>
      <c r="E16" s="17"/>
      <c r="F16" s="17"/>
      <c r="G16" s="17"/>
      <c r="H16" s="17"/>
      <c r="I16" s="17"/>
    </row>
    <row r="17" x14ac:dyDescent="0.2"/>
  </sheetData>
  <mergeCells count="4">
    <mergeCell ref="B13:C13"/>
    <mergeCell ref="B14:C14"/>
    <mergeCell ref="B15:C15"/>
    <mergeCell ref="B16:C16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Vagner Daniel</dc:creator>
  <cp:lastModifiedBy>Vagner Daniel</cp:lastModifiedBy>
  <dcterms:created xsi:type="dcterms:W3CDTF">2026-08-24T18:50:10Z</dcterms:created>
  <dcterms:modified xsi:type="dcterms:W3CDTF">2026-08-25T00:10:29Z</dcterms:modified>
</cp:coreProperties>
</file>