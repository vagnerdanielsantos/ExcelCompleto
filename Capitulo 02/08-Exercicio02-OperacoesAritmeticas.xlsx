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53" documentId="8_{945E780E-63FC-459A-ABE3-6CEC64628012}" xr6:coauthVersionLast="47" xr6:coauthVersionMax="47" xr10:uidLastSave="{A345A6AE-4363-4AC8-9AB4-2D600F21D2DE}"/>
  <bookViews>
    <workbookView xWindow="-120" yWindow="-120" windowWidth="20730" windowHeight="11760" xr2:uid="{00000000-000D-0000-FFFF-FFFF00000000}"/>
  </bookViews>
  <sheets>
    <sheet name="Exercício Operações Aritméticas" sheetId="3" r:id="rId1"/>
    <sheet name="Gabari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J6" i="3"/>
  <c r="J7" i="3"/>
  <c r="J8" i="3"/>
  <c r="J9" i="3"/>
  <c r="I6" i="3"/>
  <c r="I7" i="3"/>
  <c r="I8" i="3"/>
  <c r="I9" i="3"/>
  <c r="D16" i="3"/>
  <c r="D17" i="3"/>
  <c r="D18" i="3"/>
  <c r="D19" i="3"/>
  <c r="D15" i="3"/>
  <c r="J5" i="3"/>
  <c r="I5" i="3"/>
  <c r="C9" i="3"/>
  <c r="D9" i="3"/>
  <c r="E9" i="3"/>
  <c r="G9" i="3"/>
  <c r="F9" i="3"/>
  <c r="E6" i="3"/>
  <c r="E7" i="3"/>
  <c r="E8" i="3"/>
  <c r="E5" i="3"/>
  <c r="H5" i="3"/>
  <c r="H6" i="3"/>
  <c r="H7" i="3"/>
  <c r="H8" i="3"/>
  <c r="D9" i="1"/>
  <c r="F9" i="1"/>
  <c r="G9" i="1"/>
  <c r="C9" i="1"/>
  <c r="J5" i="1" l="1"/>
  <c r="E5" i="1"/>
  <c r="D16" i="1"/>
  <c r="D17" i="1"/>
  <c r="D18" i="1"/>
  <c r="D19" i="1"/>
  <c r="D15" i="1"/>
  <c r="E6" i="1"/>
  <c r="H6" i="1" s="1"/>
  <c r="I6" i="1" s="1"/>
  <c r="E7" i="1"/>
  <c r="H7" i="1" s="1"/>
  <c r="E8" i="1"/>
  <c r="H8" i="1"/>
  <c r="I8" i="1" s="1"/>
  <c r="J6" i="1"/>
  <c r="J7" i="1"/>
  <c r="J8" i="1"/>
  <c r="H5" i="1" l="1"/>
  <c r="E9" i="1"/>
  <c r="J9" i="1"/>
  <c r="I7" i="1"/>
  <c r="I5" i="1" l="1"/>
  <c r="H9" i="1"/>
  <c r="I9" i="1" s="1"/>
</calcChain>
</file>

<file path=xl/sharedStrings.xml><?xml version="1.0" encoding="utf-8"?>
<sst xmlns="http://schemas.openxmlformats.org/spreadsheetml/2006/main" count="59" uniqueCount="28">
  <si>
    <t>MÊS</t>
  </si>
  <si>
    <t>LITROS</t>
  </si>
  <si>
    <t>KM RODADOS</t>
  </si>
  <si>
    <t>RESUMO DE GASTOS DOS VEÍCULOS</t>
  </si>
  <si>
    <t>GASTO COM COMBUSTÍVEL</t>
  </si>
  <si>
    <t>GASTO COM PEÇAS</t>
  </si>
  <si>
    <t>GASTO COM SERVIÇOS</t>
  </si>
  <si>
    <t>GASTO
TOTAL</t>
  </si>
  <si>
    <t>GASTO POR KM</t>
  </si>
  <si>
    <t>RENDIMENTO DE COMBUSTÍVEL</t>
  </si>
  <si>
    <t>ANO</t>
  </si>
  <si>
    <t>PLACA</t>
  </si>
  <si>
    <t>AAA-1111</t>
  </si>
  <si>
    <t>AAA-2222</t>
  </si>
  <si>
    <t>AAA-3333</t>
  </si>
  <si>
    <t>AAA-4444</t>
  </si>
  <si>
    <t>TOTAL</t>
  </si>
  <si>
    <t>Janeiro</t>
  </si>
  <si>
    <t>Fevereiro</t>
  </si>
  <si>
    <t>Março</t>
  </si>
  <si>
    <t>Abril</t>
  </si>
  <si>
    <t>Maio</t>
  </si>
  <si>
    <t>Preço combustível</t>
  </si>
  <si>
    <t>COMPARATIVO COM A META DE GASTO/KM</t>
  </si>
  <si>
    <t>Meta de Gasto/Km</t>
  </si>
  <si>
    <t>VARIAÇÃO EM RELAÇÃO À META</t>
  </si>
  <si>
    <t>Agosto</t>
  </si>
  <si>
    <t>resolução: https://www.youtube.com/watch?v=b_m7K4drI0g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</si>
</sst>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&quot;R$&quot;\ #,##0.000"/>
    <numFmt numFmtId="166" formatCode="&quot;R$&quot;\ #,##0.0000"/>
    <numFmt numFmtId="167" formatCode="0.000"/>
    <numFmt numFmtId="168" formatCode="_-&quot;R$&quot;* #,##0.0000_-;\-&quot;R$&quot;* #,##0.0000_-;_-&quot;R$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5"/>
      <color theme="1" tint="0.34998626667073579"/>
      <name val="Arial Black"/>
      <family val="2"/>
    </font>
    <font>
      <b/>
      <sz val="11"/>
      <color theme="5" tint="-0.249977111117893"/>
      <name val="Calibri"/>
      <family val="2"/>
      <scheme val="minor"/>
    </font>
    <font>
      <sz val="11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1" tint="0.34998626667073579"/>
      <name val="Arial"/>
      <family val="2"/>
    </font>
    <font>
      <b/>
      <sz val="12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/>
      <diagonal/>
    </border>
    <border>
      <left/>
      <right/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2" fillId="0" borderId="4" xfId="0" applyFont="1" applyBorder="1" applyAlignment="1">
      <alignment vertical="center"/>
    </xf>
    <xf numFmtId="4" fontId="2" fillId="0" borderId="4" xfId="0" applyNumberFormat="1" applyFont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0" fontId="8" fillId="0" borderId="0" xfId="0" applyFont="1" applyAlignment="1">
      <alignment horizontal="righ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right" vertical="center" wrapText="1"/>
    </xf>
    <xf numFmtId="10" fontId="0" fillId="0" borderId="4" xfId="0" applyNumberFormat="1" applyBorder="1" applyAlignment="1">
      <alignment horizontal="right" vertical="center"/>
    </xf>
    <xf numFmtId="167" fontId="0" fillId="0" borderId="0" xfId="0" applyNumberFormat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2" fontId="2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6" fontId="10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167" fontId="1" fillId="0" borderId="0" xfId="0" applyNumberFormat="1" applyFont="1" applyAlignment="1">
      <alignment vertical="center"/>
    </xf>
    <xf numFmtId="168" fontId="1" fillId="0" borderId="4" xfId="0" applyNumberFormat="1" applyFont="1" applyBorder="1" applyAlignment="1">
      <alignment horizontal="right" vertical="center"/>
    </xf>
    <xf numFmtId="10" fontId="1" fillId="0" borderId="4" xfId="0" applyNumberFormat="1" applyFont="1" applyBorder="1" applyAlignment="1">
      <alignment horizontal="right" vertical="center"/>
    </xf>
    <xf numFmtId="2" fontId="10" fillId="0" borderId="4" xfId="0" applyNumberFormat="1" applyFont="1" applyBorder="1" applyAlignment="1">
      <alignment vertical="center"/>
    </xf>
    <xf numFmtId="1" fontId="10" fillId="0" borderId="4" xfId="0" applyNumberFormat="1" applyFont="1" applyBorder="1" applyAlignment="1">
      <alignment vertical="center"/>
    </xf>
    <xf numFmtId="44" fontId="10" fillId="0" borderId="4" xfId="0" applyNumberFormat="1" applyFont="1" applyBorder="1" applyAlignment="1">
      <alignment vertical="center"/>
    </xf>
    <xf numFmtId="44" fontId="1" fillId="0" borderId="4" xfId="0" applyNumberFormat="1" applyFont="1" applyBorder="1" applyAlignment="1">
      <alignment vertical="center"/>
    </xf>
    <xf numFmtId="2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"/>
  <sheetViews>
    <sheetView showGridLines="0" tabSelected="1" workbookViewId="0"/>
  </sheetViews>
  <sheetFormatPr defaultRowHeight="15" x14ac:dyDescent="0.25"/>
  <cols>
    <col min="1" max="1" width="3.7109375" style="34" customWidth="1"/>
    <col min="2" max="2" width="12.7109375" style="34" customWidth="1"/>
    <col min="3" max="4" width="15.7109375" style="34" customWidth="1"/>
    <col min="5" max="5" width="20.28515625" style="34" customWidth="1"/>
    <col min="6" max="6" width="15.7109375" style="34" customWidth="1"/>
    <col min="7" max="7" width="17.28515625" style="34" customWidth="1"/>
    <col min="8" max="9" width="15.7109375" style="34" customWidth="1"/>
    <col min="10" max="10" width="19" style="34" customWidth="1"/>
    <col min="11" max="11" width="14.7109375" style="34" customWidth="1"/>
    <col min="12" max="13" width="11.7109375" style="34" customWidth="1"/>
    <col min="14" max="16384" width="9.140625" style="34"/>
  </cols>
  <sheetData>
    <row r="1" spans="2:10" ht="24.75" customHeight="1" x14ac:dyDescent="0.25"/>
    <row r="2" spans="2:10" ht="31.5" x14ac:dyDescent="0.25">
      <c r="B2" s="35" t="s">
        <v>3</v>
      </c>
      <c r="C2" s="36"/>
      <c r="D2" s="36"/>
      <c r="E2" s="36"/>
      <c r="F2" s="36"/>
      <c r="G2" s="36"/>
      <c r="H2" s="37" t="s">
        <v>22</v>
      </c>
      <c r="I2" s="38" t="s">
        <v>0</v>
      </c>
      <c r="J2" s="38" t="s">
        <v>10</v>
      </c>
    </row>
    <row r="3" spans="2:10" ht="19.5" customHeight="1" x14ac:dyDescent="0.25">
      <c r="B3" s="39"/>
      <c r="C3" s="40"/>
      <c r="D3" s="40"/>
      <c r="E3" s="40"/>
      <c r="F3" s="40"/>
      <c r="G3" s="40"/>
      <c r="H3" s="41">
        <v>6.4989999999999997</v>
      </c>
      <c r="I3" s="42" t="s">
        <v>26</v>
      </c>
      <c r="J3" s="42">
        <v>2026</v>
      </c>
    </row>
    <row r="4" spans="2:10" ht="63" x14ac:dyDescent="0.25">
      <c r="B4" s="43" t="s">
        <v>11</v>
      </c>
      <c r="C4" s="44" t="s">
        <v>2</v>
      </c>
      <c r="D4" s="44" t="s">
        <v>1</v>
      </c>
      <c r="E4" s="44" t="s">
        <v>4</v>
      </c>
      <c r="F4" s="44" t="s">
        <v>5</v>
      </c>
      <c r="G4" s="44" t="s">
        <v>6</v>
      </c>
      <c r="H4" s="44" t="s">
        <v>7</v>
      </c>
      <c r="I4" s="44" t="s">
        <v>8</v>
      </c>
      <c r="J4" s="44" t="s">
        <v>9</v>
      </c>
    </row>
    <row r="5" spans="2:10" x14ac:dyDescent="0.25">
      <c r="B5" s="45" t="s">
        <v>12</v>
      </c>
      <c r="C5" s="46">
        <v>1350</v>
      </c>
      <c r="D5" s="47">
        <v>142.19999999999999</v>
      </c>
      <c r="E5" s="63">
        <f>(D5 * $H$3)</f>
        <v>924.15779999999984</v>
      </c>
      <c r="F5" s="63">
        <v>500</v>
      </c>
      <c r="G5" s="48">
        <v>350</v>
      </c>
      <c r="H5" s="63">
        <f>SUBTOTAL(9,E5:G5)</f>
        <v>1774.1578</v>
      </c>
      <c r="I5" s="63">
        <f>(E5 / C5)</f>
        <v>0.68456133333333324</v>
      </c>
      <c r="J5" s="64">
        <f>(C5 / D5)</f>
        <v>9.4936708860759502</v>
      </c>
    </row>
    <row r="6" spans="2:10" x14ac:dyDescent="0.25">
      <c r="B6" s="45" t="s">
        <v>13</v>
      </c>
      <c r="C6" s="46">
        <v>1950</v>
      </c>
      <c r="D6" s="47">
        <v>224.2</v>
      </c>
      <c r="E6" s="63">
        <f t="shared" ref="E6:E8" si="0">(D6 * $H$3)</f>
        <v>1457.0757999999998</v>
      </c>
      <c r="F6" s="63">
        <v>250</v>
      </c>
      <c r="G6" s="48">
        <v>35</v>
      </c>
      <c r="H6" s="63">
        <f t="shared" ref="H6:H8" si="1">SUBTOTAL(9,E6:G6)</f>
        <v>1742.0757999999998</v>
      </c>
      <c r="I6" s="63">
        <f t="shared" ref="I6:I9" si="2">(E6 / C6)</f>
        <v>0.74721835897435884</v>
      </c>
      <c r="J6" s="64">
        <f t="shared" ref="J6:J9" si="3">(C6 / D6)</f>
        <v>8.6975914362176638</v>
      </c>
    </row>
    <row r="7" spans="2:10" x14ac:dyDescent="0.25">
      <c r="B7" s="45" t="s">
        <v>14</v>
      </c>
      <c r="C7" s="46">
        <v>2520</v>
      </c>
      <c r="D7" s="47">
        <v>247</v>
      </c>
      <c r="E7" s="63">
        <f t="shared" si="0"/>
        <v>1605.2529999999999</v>
      </c>
      <c r="F7" s="63">
        <v>180</v>
      </c>
      <c r="G7" s="48">
        <v>56</v>
      </c>
      <c r="H7" s="63">
        <f t="shared" si="1"/>
        <v>1841.2529999999999</v>
      </c>
      <c r="I7" s="63">
        <f t="shared" si="2"/>
        <v>0.63700515873015873</v>
      </c>
      <c r="J7" s="64">
        <f t="shared" si="3"/>
        <v>10.20242914979757</v>
      </c>
    </row>
    <row r="8" spans="2:10" x14ac:dyDescent="0.25">
      <c r="B8" s="45" t="s">
        <v>15</v>
      </c>
      <c r="C8" s="46">
        <v>1410</v>
      </c>
      <c r="D8" s="47">
        <v>117.5</v>
      </c>
      <c r="E8" s="63">
        <f t="shared" si="0"/>
        <v>763.63249999999994</v>
      </c>
      <c r="F8" s="63">
        <v>95</v>
      </c>
      <c r="G8" s="48">
        <v>0</v>
      </c>
      <c r="H8" s="63">
        <f t="shared" si="1"/>
        <v>858.63249999999994</v>
      </c>
      <c r="I8" s="63">
        <f t="shared" si="2"/>
        <v>0.54158333333333331</v>
      </c>
      <c r="J8" s="64">
        <f t="shared" si="3"/>
        <v>12</v>
      </c>
    </row>
    <row r="9" spans="2:10" ht="20.100000000000001" customHeight="1" x14ac:dyDescent="0.25">
      <c r="B9" s="49" t="s">
        <v>16</v>
      </c>
      <c r="C9" s="61">
        <f t="shared" ref="C9:E9" si="4">SUBTOTAL(9,C5:C8)</f>
        <v>7230</v>
      </c>
      <c r="D9" s="60">
        <f t="shared" si="4"/>
        <v>730.9</v>
      </c>
      <c r="E9" s="62">
        <f t="shared" si="4"/>
        <v>4750.119099999999</v>
      </c>
      <c r="F9" s="62">
        <f>SUBTOTAL(9,F5:F8)</f>
        <v>1025</v>
      </c>
      <c r="G9" s="62">
        <f>SUBTOTAL(9,G5:G8)</f>
        <v>441</v>
      </c>
      <c r="H9" s="62">
        <f>SUM(H5:H8)</f>
        <v>6216.119099999999</v>
      </c>
      <c r="I9" s="62">
        <f t="shared" si="2"/>
        <v>0.65700125864453651</v>
      </c>
      <c r="J9" s="60">
        <f t="shared" si="3"/>
        <v>9.8919140785333148</v>
      </c>
    </row>
    <row r="12" spans="2:10" ht="38.25" customHeight="1" x14ac:dyDescent="0.25">
      <c r="B12" s="50" t="s">
        <v>23</v>
      </c>
      <c r="C12" s="51"/>
      <c r="D12" s="52"/>
      <c r="F12" s="34" t="s">
        <v>27</v>
      </c>
    </row>
    <row r="13" spans="2:10" ht="15.75" x14ac:dyDescent="0.25">
      <c r="B13" s="53" t="s">
        <v>24</v>
      </c>
      <c r="C13" s="54"/>
      <c r="D13" s="55">
        <v>0.57999999999999996</v>
      </c>
      <c r="E13" s="56"/>
      <c r="G13" s="56"/>
    </row>
    <row r="14" spans="2:10" ht="63" x14ac:dyDescent="0.25">
      <c r="B14" s="43" t="s">
        <v>0</v>
      </c>
      <c r="C14" s="44" t="s">
        <v>8</v>
      </c>
      <c r="D14" s="44" t="s">
        <v>25</v>
      </c>
      <c r="E14" s="56"/>
      <c r="G14" s="57"/>
    </row>
    <row r="15" spans="2:10" ht="15.75" x14ac:dyDescent="0.25">
      <c r="B15" s="45" t="s">
        <v>17</v>
      </c>
      <c r="C15" s="58">
        <v>0.59599999999999997</v>
      </c>
      <c r="D15" s="59">
        <f>(C15 / $D$13) - 1</f>
        <v>2.7586206896551779E-2</v>
      </c>
      <c r="E15" s="56"/>
      <c r="G15" s="57"/>
    </row>
    <row r="16" spans="2:10" ht="15.75" x14ac:dyDescent="0.25">
      <c r="B16" s="45" t="s">
        <v>18</v>
      </c>
      <c r="C16" s="58">
        <v>0.58199999999999996</v>
      </c>
      <c r="D16" s="59">
        <f t="shared" ref="D16:D19" si="5">(C16 / $D$13) - 1</f>
        <v>3.4482758620688614E-3</v>
      </c>
      <c r="E16" s="56"/>
      <c r="G16" s="57"/>
    </row>
    <row r="17" spans="2:7" ht="15.75" x14ac:dyDescent="0.25">
      <c r="B17" s="45" t="s">
        <v>19</v>
      </c>
      <c r="C17" s="58">
        <v>0.57199999999999995</v>
      </c>
      <c r="D17" s="59">
        <f t="shared" si="5"/>
        <v>-1.379310344827589E-2</v>
      </c>
      <c r="E17" s="56"/>
      <c r="G17" s="57"/>
    </row>
    <row r="18" spans="2:7" ht="15.75" x14ac:dyDescent="0.25">
      <c r="B18" s="45" t="s">
        <v>20</v>
      </c>
      <c r="C18" s="58">
        <v>0.61199999999999999</v>
      </c>
      <c r="D18" s="59">
        <f t="shared" si="5"/>
        <v>5.5172413793103559E-2</v>
      </c>
      <c r="E18" s="56"/>
    </row>
    <row r="19" spans="2:7" x14ac:dyDescent="0.25">
      <c r="B19" s="45" t="s">
        <v>21</v>
      </c>
      <c r="C19" s="58">
        <v>0.64549999999999996</v>
      </c>
      <c r="D19" s="59">
        <f t="shared" si="5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9"/>
  <sheetViews>
    <sheetView showGridLines="0" topLeftCell="A2" workbookViewId="0">
      <selection activeCell="J4" sqref="J4"/>
    </sheetView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3" t="s">
        <v>3</v>
      </c>
      <c r="C2" s="24"/>
      <c r="D2" s="24"/>
      <c r="E2" s="24"/>
      <c r="F2" s="24"/>
      <c r="G2" s="32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5"/>
      <c r="C3" s="26"/>
      <c r="D3" s="26"/>
      <c r="E3" s="26"/>
      <c r="F3" s="26"/>
      <c r="G3" s="33"/>
      <c r="H3" s="15">
        <v>4.899</v>
      </c>
      <c r="I3" s="16" t="s">
        <v>21</v>
      </c>
      <c r="J3" s="16">
        <v>2026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G5+F5+E5</f>
        <v>1546.6378</v>
      </c>
      <c r="I5" s="20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>D6*$H$3</f>
        <v>1098.3558</v>
      </c>
      <c r="F6" s="20">
        <v>250</v>
      </c>
      <c r="G6" s="20">
        <v>35</v>
      </c>
      <c r="H6" s="20">
        <f t="shared" ref="H6:H8" si="0">G6+F6+E6</f>
        <v>1383.3558</v>
      </c>
      <c r="I6" s="20">
        <f>H6/C6</f>
        <v>0.7094132307692308</v>
      </c>
      <c r="J6" s="5">
        <f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>D7*$H$3</f>
        <v>1210.0530000000001</v>
      </c>
      <c r="F7" s="20">
        <v>180</v>
      </c>
      <c r="G7" s="20">
        <v>56</v>
      </c>
      <c r="H7" s="20">
        <f t="shared" si="0"/>
        <v>1446.0530000000001</v>
      </c>
      <c r="I7" s="20">
        <f>H7/C7</f>
        <v>0.57383055555555562</v>
      </c>
      <c r="J7" s="5">
        <f>C7/D7</f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>D8*$H$3</f>
        <v>575.63250000000005</v>
      </c>
      <c r="F8" s="20">
        <v>95</v>
      </c>
      <c r="G8" s="20">
        <v>0</v>
      </c>
      <c r="H8" s="20">
        <f t="shared" si="0"/>
        <v>670.63250000000005</v>
      </c>
      <c r="I8" s="20">
        <f>H8/C8</f>
        <v>0.47562588652482274</v>
      </c>
      <c r="J8" s="5">
        <f>C8/D8</f>
        <v>12</v>
      </c>
    </row>
    <row r="9" spans="2:13" ht="20.100000000000001" customHeight="1" x14ac:dyDescent="0.25">
      <c r="B9" s="6" t="s">
        <v>16</v>
      </c>
      <c r="C9" s="8">
        <f>SUM(C5:C8)</f>
        <v>7230</v>
      </c>
      <c r="D9" s="22">
        <f t="shared" ref="D9:H9" si="1">SUM(D5:D8)</f>
        <v>730.9</v>
      </c>
      <c r="E9" s="19">
        <f t="shared" si="1"/>
        <v>3580.6791000000003</v>
      </c>
      <c r="F9" s="19">
        <f t="shared" si="1"/>
        <v>1025</v>
      </c>
      <c r="G9" s="19">
        <f t="shared" si="1"/>
        <v>441</v>
      </c>
      <c r="H9" s="19">
        <f t="shared" si="1"/>
        <v>5046.6790999999994</v>
      </c>
      <c r="I9" s="19">
        <f>H9/C9</f>
        <v>0.69801923928077447</v>
      </c>
      <c r="J9" s="7">
        <f>C9/D9</f>
        <v>9.8919140785333148</v>
      </c>
    </row>
    <row r="12" spans="2:13" ht="38.25" customHeight="1" x14ac:dyDescent="0.25">
      <c r="B12" s="27" t="s">
        <v>23</v>
      </c>
      <c r="C12" s="28"/>
      <c r="D12" s="29"/>
    </row>
    <row r="13" spans="2:13" x14ac:dyDescent="0.25">
      <c r="B13" s="30" t="s">
        <v>24</v>
      </c>
      <c r="C13" s="31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2">(C16/$D$13)-1</f>
        <v>3.4482758620688614E-3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2"/>
        <v>-1.379310344827589E-2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2"/>
        <v>5.5172413793103559E-2</v>
      </c>
      <c r="E18" s="9"/>
    </row>
    <row r="19" spans="2:7" x14ac:dyDescent="0.25">
      <c r="B19" s="3" t="s">
        <v>21</v>
      </c>
      <c r="C19" s="21">
        <v>0.64549999999999996</v>
      </c>
      <c r="D19" s="12">
        <f t="shared" si="2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Operações Aritméticas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Vagner Daniel</cp:lastModifiedBy>
  <dcterms:created xsi:type="dcterms:W3CDTF">2018-10-18T17:28:39Z</dcterms:created>
  <dcterms:modified xsi:type="dcterms:W3CDTF">2026-08-26T20:24:48Z</dcterms:modified>
</cp:coreProperties>
</file>